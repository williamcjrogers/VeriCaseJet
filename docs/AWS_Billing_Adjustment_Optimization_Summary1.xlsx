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William\Downloads\"/>
    </mc:Choice>
  </mc:AlternateContent>
  <xr:revisionPtr revIDLastSave="0" documentId="13_ncr:1_{5A84312F-3E77-4B18-9FE2-A47EED99D996}" xr6:coauthVersionLast="47" xr6:coauthVersionMax="47" xr10:uidLastSave="{00000000-0000-0000-0000-000000000000}"/>
  <bookViews>
    <workbookView xWindow="-110" yWindow="-110" windowWidth="34620" windowHeight="13900" activeTab="3" xr2:uid="{00000000-000D-0000-FFFF-FFFF00000000}"/>
  </bookViews>
  <sheets>
    <sheet name="1. Cover" sheetId="1" r:id="rId1"/>
    <sheet name="2. Monthly Spend" sheetId="2" r:id="rId2"/>
    <sheet name="3. Service Breakdown" sheetId="3" r:id="rId3"/>
    <sheet name="4. Before &amp; After" sheetId="4" r:id="rId4"/>
    <sheet name="5. Resource Inventory" sheetId="5" r:id="rId5"/>
    <sheet name="6. AWS Pack Checklist" sheetId="6" r:id="rId6"/>
    <sheet name="7. Raw Data" sheetId="7" r:id="rId7"/>
    <sheet name="8. Screenshots" sheetId="8" r:id="rId8"/>
    <sheet name="9. December 2025" sheetId="10" r:id="rId9"/>
    <sheet name="12. 01 - 11 Jan 26" sheetId="9"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4" l="1"/>
  <c r="M17" i="4"/>
  <c r="M16" i="4"/>
  <c r="M15" i="4"/>
  <c r="M14" i="4"/>
  <c r="M13" i="4"/>
  <c r="M12" i="4"/>
  <c r="M11" i="4"/>
  <c r="M10" i="4"/>
  <c r="M9" i="4"/>
  <c r="M8" i="4"/>
  <c r="M7" i="4"/>
  <c r="M6" i="4"/>
  <c r="M5" i="4"/>
  <c r="X9" i="7"/>
  <c r="L5" i="3"/>
  <c r="L9" i="3" s="1"/>
  <c r="L8" i="3"/>
  <c r="E8" i="2"/>
  <c r="K9" i="3"/>
  <c r="J9" i="3"/>
  <c r="I9" i="3"/>
  <c r="H9" i="3"/>
  <c r="G9" i="3"/>
  <c r="F9" i="3"/>
  <c r="E9" i="3"/>
  <c r="D9" i="3"/>
  <c r="C9" i="3"/>
  <c r="E9" i="2"/>
  <c r="D9" i="2"/>
  <c r="C9" i="2"/>
</calcChain>
</file>

<file path=xl/sharedStrings.xml><?xml version="1.0" encoding="utf-8"?>
<sst xmlns="http://schemas.openxmlformats.org/spreadsheetml/2006/main" count="364" uniqueCount="216">
  <si>
    <t>AWS Billing Adjustment Support Pack</t>
  </si>
  <si>
    <t>526015377510</t>
  </si>
  <si>
    <t>AWS Support Billing Adjustment Review</t>
  </si>
  <si>
    <t>William Rogers</t>
  </si>
  <si>
    <t>Purpose</t>
  </si>
  <si>
    <t>Key placeholders to complete</t>
  </si>
  <si>
    <t>Insert Support Case ID in the email subject line if you have it.</t>
  </si>
  <si>
    <t>Insert exact remediation dates per service in tab 4_Before_After if available.</t>
  </si>
  <si>
    <t>Insert any missing resource IDs (RDS instance ID, OpenSearch domain name, terminated EC2 instance IDs) in tab 5_Resource_Inventory.</t>
  </si>
  <si>
    <t>Attach Budget and Billing Alarm screenshots and list them in tab 6_Evidence_Checklist.</t>
  </si>
  <si>
    <t>Month</t>
  </si>
  <si>
    <t>Total (Incl Tax)</t>
  </si>
  <si>
    <t>Tax</t>
  </si>
  <si>
    <t>Total (Excl Tax)</t>
  </si>
  <si>
    <t>Top Driver 1</t>
  </si>
  <si>
    <t>Top Driver 1 Cost</t>
  </si>
  <si>
    <t>Top Driver 2</t>
  </si>
  <si>
    <t>Top Driver 2 Cost</t>
  </si>
  <si>
    <t>Oct 2025</t>
  </si>
  <si>
    <t>ElastiCache</t>
  </si>
  <si>
    <t>RDS</t>
  </si>
  <si>
    <t>Nov 2025</t>
  </si>
  <si>
    <t>Dec 2025</t>
  </si>
  <si>
    <t>EC2 Instances</t>
  </si>
  <si>
    <t>Jan 2026</t>
  </si>
  <si>
    <t>OpenSearch</t>
  </si>
  <si>
    <t>Oct to Dec 2025 Total</t>
  </si>
  <si>
    <t>Service Breakdown by Month (USD)</t>
  </si>
  <si>
    <t>ElastiCache($)</t>
  </si>
  <si>
    <t>Relational Database Service($)</t>
  </si>
  <si>
    <t>OpenSearch Service($)</t>
  </si>
  <si>
    <t>EC2-Instances($)</t>
  </si>
  <si>
    <t>Elastic Container Service for Kubernetes($)</t>
  </si>
  <si>
    <t>Support (Business)($)</t>
  </si>
  <si>
    <t>CloudWatch($)</t>
  </si>
  <si>
    <t>Other Services ($)</t>
  </si>
  <si>
    <t>Tax($)</t>
  </si>
  <si>
    <t>Total costs($)</t>
  </si>
  <si>
    <t>Totals to date</t>
  </si>
  <si>
    <t>Right Sizing Summary (Before and After)</t>
  </si>
  <si>
    <t>Service</t>
  </si>
  <si>
    <t>Resource Identifier</t>
  </si>
  <si>
    <t>Region</t>
  </si>
  <si>
    <t>vericase-celery-001</t>
  </si>
  <si>
    <t>eu-west-2</t>
  </si>
  <si>
    <t>Celery task queue</t>
  </si>
  <si>
    <t>cache.r7g.xlarge (1 node)</t>
  </si>
  <si>
    <t>cache.t4g.micro (1 node)</t>
  </si>
  <si>
    <t>INSERT DATE</t>
  </si>
  <si>
    <t>INSERT RDS INSTANCE ID</t>
  </si>
  <si>
    <t>Primary application database</t>
  </si>
  <si>
    <t>db.t4g.large single AZ</t>
  </si>
  <si>
    <t>INSERT DOMAIN NAME</t>
  </si>
  <si>
    <t>Search index</t>
  </si>
  <si>
    <t>Compute and EKS workers</t>
  </si>
  <si>
    <t>EKS Control Plane</t>
  </si>
  <si>
    <t>vericase-cluster</t>
  </si>
  <si>
    <t>Kubernetes control plane</t>
  </si>
  <si>
    <t>AWS Support Plan</t>
  </si>
  <si>
    <t>Global</t>
  </si>
  <si>
    <t>Support plan</t>
  </si>
  <si>
    <t>Business Support</t>
  </si>
  <si>
    <t>Basic Support</t>
  </si>
  <si>
    <t>CloudWatch Logs</t>
  </si>
  <si>
    <t>Logs and metrics</t>
  </si>
  <si>
    <t>Higher ingest and longer retention</t>
  </si>
  <si>
    <t>Resource Identifiers and Current Status</t>
  </si>
  <si>
    <t>Complete this list with any additional IDs used during Oct to Dec 2025. Keep terminated resources included for audit trail.</t>
  </si>
  <si>
    <t>Redis Cache Cluster</t>
  </si>
  <si>
    <t>Downsized</t>
  </si>
  <si>
    <t>Yes</t>
  </si>
  <si>
    <t>cache.r7g.xlarge to cache.t4g.micro</t>
  </si>
  <si>
    <t>DB Instance</t>
  </si>
  <si>
    <t>db.r6g.4xlarge Multi AZ to db.t4g.large single AZ</t>
  </si>
  <si>
    <t>Domain</t>
  </si>
  <si>
    <t>6 node to 1 node</t>
  </si>
  <si>
    <t>EKS</t>
  </si>
  <si>
    <t>Cluster</t>
  </si>
  <si>
    <t>Optimized</t>
  </si>
  <si>
    <t>Reduced node groups and add ons</t>
  </si>
  <si>
    <t>EC2</t>
  </si>
  <si>
    <t>Instance</t>
  </si>
  <si>
    <t>i-0e71aa0f67207e822</t>
  </si>
  <si>
    <t>Active</t>
  </si>
  <si>
    <t>No</t>
  </si>
  <si>
    <t>Current worker m6i.xlarge</t>
  </si>
  <si>
    <t>i-0281c33860e542f20</t>
  </si>
  <si>
    <t>INSERT TERMINATED INSTANCE ID</t>
  </si>
  <si>
    <t>Terminated</t>
  </si>
  <si>
    <t>Previously m6i.12xlarge and t3.2xlarge</t>
  </si>
  <si>
    <t>Evidence Checklist for AWS Review</t>
  </si>
  <si>
    <t>Tick Provided once each file is attached to the AWS Support case. Keep filenames consistent with this list.</t>
  </si>
  <si>
    <t>Cost Explorer export by service, monthly</t>
  </si>
  <si>
    <t>aws_cost_explorer_oct_dec_2025.csv</t>
  </si>
  <si>
    <t>7_Raw_Data</t>
  </si>
  <si>
    <t>NO</t>
  </si>
  <si>
    <t>Export from Cost Explorer, UnblendedCost, excludes credits and refunds</t>
  </si>
  <si>
    <t>AWS Export - November 2025.csv</t>
  </si>
  <si>
    <t>From AWS.zip</t>
  </si>
  <si>
    <t>AWS Export - December 2025.csv</t>
  </si>
  <si>
    <t>AWS Export - January 2026.csv</t>
  </si>
  <si>
    <t>Right sizing summary workbook</t>
  </si>
  <si>
    <t>AWS_Billing_Adjustment_Optimization_Summary.xlsx</t>
  </si>
  <si>
    <t>All tabs</t>
  </si>
  <si>
    <t>This file</t>
  </si>
  <si>
    <t>Before after configuration summary with dates</t>
  </si>
  <si>
    <t>before_after_summary.xlsx</t>
  </si>
  <si>
    <t>4_Before_After</t>
  </si>
  <si>
    <t>Populate change dates and IDs</t>
  </si>
  <si>
    <t>Resource identifiers list</t>
  </si>
  <si>
    <t>resource_identifiers_list.xlsx</t>
  </si>
  <si>
    <t>5_Resource_Inventory</t>
  </si>
  <si>
    <t>Populate missing IDs</t>
  </si>
  <si>
    <t>Budget alert screenshots</t>
  </si>
  <si>
    <t>INSERT FILE NAME</t>
  </si>
  <si>
    <t>External screenshot</t>
  </si>
  <si>
    <t>Show thresholds at 500, 1000, 1500</t>
  </si>
  <si>
    <t>Billing alarm screenshot</t>
  </si>
  <si>
    <t>CloudWatch estimated charges alarm</t>
  </si>
  <si>
    <t>Cost Explorer trend screenshots</t>
  </si>
  <si>
    <t>Cost_Explorer_Trend1.jpg, Cost_Explorer_Trend2.jpg</t>
  </si>
  <si>
    <t>8_Screenshots</t>
  </si>
  <si>
    <t>Screenshots from AWS.zip</t>
  </si>
  <si>
    <t>Elastic Load Balancing($)</t>
  </si>
  <si>
    <t>EC2-Other($)</t>
  </si>
  <si>
    <t>VPC($)</t>
  </si>
  <si>
    <t>App Runner($)</t>
  </si>
  <si>
    <t>Registrar($)</t>
  </si>
  <si>
    <t>EC2 Container Registry (ECR)($)</t>
  </si>
  <si>
    <t>Textract($)</t>
  </si>
  <si>
    <t>Secrets Manager($)</t>
  </si>
  <si>
    <t>Amplify($)</t>
  </si>
  <si>
    <t>S3($)</t>
  </si>
  <si>
    <t>Route 53($)</t>
  </si>
  <si>
    <t>Bedrock($)</t>
  </si>
  <si>
    <t>Cost Explorer($)</t>
  </si>
  <si>
    <t>Location Service($)</t>
  </si>
  <si>
    <t>CloudWatch Events($)</t>
  </si>
  <si>
    <t>Glue($)</t>
  </si>
  <si>
    <t>Key Management Service($)</t>
  </si>
  <si>
    <t>DevOps Guru($)</t>
  </si>
  <si>
    <t>SNS($)</t>
  </si>
  <si>
    <t>SQS($)</t>
  </si>
  <si>
    <t>Step Functions($)</t>
  </si>
  <si>
    <t>Elastic Container Service($)</t>
  </si>
  <si>
    <t>Service total</t>
  </si>
  <si>
    <t>Tab Description</t>
  </si>
  <si>
    <t>Adjustment request period Oct-Dec 2025, if kindly granted.</t>
  </si>
  <si>
    <t>2. Monthly Spend Summary (USD)</t>
  </si>
  <si>
    <t>Adjustment</t>
  </si>
  <si>
    <t>Business Support+($)</t>
  </si>
  <si>
    <t>01 January 2026 - 11 January 2026</t>
  </si>
  <si>
    <t>This workbook consolidates Cost Explorer exports, Amazon Q insights and right sizing actions for the spend period (Oct to Dec 2025), plus January 2026 forecasted spend after remediation. This document is in support of my email reference 'XXXX', which I hope is of assistance.</t>
  </si>
  <si>
    <t>Account ID:</t>
  </si>
  <si>
    <t>Prepared for:</t>
  </si>
  <si>
    <t>Prepared by:</t>
  </si>
  <si>
    <t>Prepared on:</t>
  </si>
  <si>
    <t>2. Monthly Spend for invoice level totals and tax split.</t>
  </si>
  <si>
    <t>3. Service Breakdown for monthly service costs and top drivers.</t>
  </si>
  <si>
    <t>4. Before After for right sizing summary and projected run rate.</t>
  </si>
  <si>
    <t>5. Resource Inventory for specific resource identifiers and current status.</t>
  </si>
  <si>
    <t>6. Evidence Checklist for the attachment pack and placeholders for any missing items.</t>
  </si>
  <si>
    <t xml:space="preserve">7. Raw Data  </t>
  </si>
  <si>
    <t>8. Screenshots include supporting exports and Cost Explorer screenshots.</t>
  </si>
  <si>
    <t xml:space="preserve">Cost Explorer Summary - October 25 to January 2026 </t>
  </si>
  <si>
    <t>January 2026 using Projected Values per Amazon Q</t>
  </si>
  <si>
    <t>8.1. January 2026: Screenshot from AWS Cost Explorer dated 11/01/26</t>
  </si>
  <si>
    <t xml:space="preserve">8.2. January 2026: Feedback from AWS Q on projected value per service for the rest of the month </t>
  </si>
  <si>
    <t>8. Supporting Screenshots from AWS Console</t>
  </si>
  <si>
    <t>11. AWS Cost Explorer Download - December 2025</t>
  </si>
  <si>
    <t>Downloaded from AWS Cost Explorer &amp; Reformatted for Ease of Reading</t>
  </si>
  <si>
    <t>8.3 Budget Alert Screenshots</t>
  </si>
  <si>
    <t>Resource identifier</t>
  </si>
  <si>
    <t>N/A</t>
  </si>
  <si>
    <r>
      <rPr>
        <b/>
        <u/>
        <sz val="11"/>
        <color rgb="FF666666"/>
        <rFont val="Calibri"/>
        <family val="2"/>
      </rPr>
      <t xml:space="preserve">Additional Notes for AWS Consideration:
</t>
    </r>
    <r>
      <rPr>
        <sz val="11"/>
        <color rgb="FF666666"/>
        <rFont val="Calibri"/>
        <family val="2"/>
      </rPr>
      <t xml:space="preserve">
1. According to Cost Explorer, the projected forecast for January 2026 is $2,522.54. However, I believe this is not reflective of recent changes which I have detailed below. The breakdown to January's projection of of $1,836.58 is detailed on tab '</t>
    </r>
    <r>
      <rPr>
        <i/>
        <sz val="11"/>
        <color rgb="FF666666"/>
        <rFont val="Calibri"/>
        <family val="2"/>
      </rPr>
      <t>3. Service Breakdown</t>
    </r>
    <r>
      <rPr>
        <sz val="11"/>
        <color rgb="FF666666"/>
        <rFont val="Calibri"/>
        <family val="2"/>
      </rPr>
      <t>'. Screenshots are also provided on tab '</t>
    </r>
    <r>
      <rPr>
        <i/>
        <sz val="11"/>
        <color rgb="FF666666"/>
        <rFont val="Calibri"/>
        <family val="2"/>
      </rPr>
      <t>8. Screenshots</t>
    </r>
    <r>
      <rPr>
        <sz val="11"/>
        <color rgb="FF666666"/>
        <rFont val="Calibri"/>
        <family val="2"/>
      </rPr>
      <t xml:space="preserve">'. 
2. Having spent the last few days (with a friends support and Amazon Q) ensuring that services are not over-provisioned, I reduced the </t>
    </r>
    <r>
      <rPr>
        <b/>
        <sz val="11"/>
        <color rgb="FF666666"/>
        <rFont val="Calibri"/>
        <family val="2"/>
      </rPr>
      <t>'AWS Support Plan' to 'Basic' and deleted an unused EC2 Instance</t>
    </r>
    <r>
      <rPr>
        <sz val="11"/>
        <color rgb="FF666666"/>
        <rFont val="Calibri"/>
        <family val="2"/>
      </rPr>
      <t xml:space="preserve">. Amazon Cost Explorer appears not to reflect this yet, however Amazon Q states the following:
</t>
    </r>
    <r>
      <rPr>
        <i/>
        <sz val="11"/>
        <color theme="4" tint="-0.249977111117893"/>
        <rFont val="Calibri"/>
        <family val="2"/>
      </rPr>
      <t xml:space="preserve">"Your original forecast of $2,522 was based on spending patterns from Oct 20 - Jan 10, which included both the deleted EC2 instance and AWS Support. With AWS Support cancelled (43% of costs) and one EC2 instance deleted (portion of the 14%), your actual January spending should be significantly lower than the $2,522 forecast. The remaining $1,598 forecasted for Jan 12-31 will likely be much less in reality The AWS Cost Explorer forecast typically takes a few days to adjust to recent changes like resource deletions and service cancellations. You should see the updated, more accurate forecast reflect these changes in the next day or two. Your actual January total will likely be much closer to just the $924 already spent, plus costs for your remaining services (primarily OpenSearch Service at 22% and remaining EC2 instances)."
</t>
    </r>
    <r>
      <rPr>
        <sz val="11"/>
        <color theme="4" tint="-0.249977111117893"/>
        <rFont val="Calibri"/>
        <family val="2"/>
      </rPr>
      <t>3. A cost download of 01-11 Jan 2026 is available on tab '</t>
    </r>
    <r>
      <rPr>
        <i/>
        <sz val="11"/>
        <color theme="4" tint="-0.249977111117893"/>
        <rFont val="Calibri"/>
        <family val="2"/>
      </rPr>
      <t>12. 01-11 Jan 26</t>
    </r>
    <r>
      <rPr>
        <sz val="11"/>
        <color theme="4" tint="-0.249977111117893"/>
        <rFont val="Calibri"/>
        <family val="2"/>
      </rPr>
      <t xml:space="preserve">' in raw cost data format </t>
    </r>
    <r>
      <rPr>
        <sz val="11"/>
        <color rgb="FF666666"/>
        <rFont val="Calibri"/>
        <family val="2"/>
      </rPr>
      <t xml:space="preserve">
4. Oct to Dec 2025 totals are the requested adjustment period, if kindly permitted.</t>
    </r>
  </si>
  <si>
    <t>Workload Function</t>
  </si>
  <si>
    <t>Original Configuration</t>
  </si>
  <si>
    <t>Current Configuration</t>
  </si>
  <si>
    <t>Peak Monthly Cost (Oct-Dec 2025)</t>
  </si>
  <si>
    <t>Current Monthly Cost (Jan 26)</t>
  </si>
  <si>
    <t>Steady State Monthly Run Rate</t>
  </si>
  <si>
    <t>Change Effective Date</t>
  </si>
  <si>
    <t>database-1</t>
  </si>
  <si>
    <t>db.r6g.4xlarge Multi AZ + db.r5.xlarge</t>
  </si>
  <si>
    <t>vericase-opensearch</t>
  </si>
  <si>
    <t>6-node cluster (r8g.large + m7g.large)</t>
  </si>
  <si>
    <t>Single node m6g.large</t>
  </si>
  <si>
    <t>i-0ade6dff1811bdbcb (terminated)</t>
  </si>
  <si>
    <t>m6i.12xlarge + t3.2xlarge + other instances</t>
  </si>
  <si>
    <t>2 × m6i.xlarge workers (only)</t>
  </si>
  <si>
    <t>Cluster + add-ons at higher capacity</t>
  </si>
  <si>
    <t>Minimal add-ons and reduced nodes</t>
  </si>
  <si>
    <t>/aws/eks/vericase-cluster/cluster, /aws/batch/job</t>
  </si>
  <si>
    <t>7-day retention and pruned logs</t>
  </si>
  <si>
    <t>ELB</t>
  </si>
  <si>
    <t>k8s-vericase-vericase-831b8104f3</t>
  </si>
  <si>
    <t>Load balancing</t>
  </si>
  <si>
    <t>Multiple ALBs</t>
  </si>
  <si>
    <t>Single ALB</t>
  </si>
  <si>
    <t>EC2-Other (EBS/NAT)</t>
  </si>
  <si>
    <t>Various</t>
  </si>
  <si>
    <t>Storage and networking</t>
  </si>
  <si>
    <t>Higher EBS, NAT usage</t>
  </si>
  <si>
    <t>Reduced footprint</t>
  </si>
  <si>
    <t>VPC (IPv4)</t>
  </si>
  <si>
    <t>vpc-0880b8ccf488f327e</t>
  </si>
  <si>
    <t>Public IP addresses</t>
  </si>
  <si>
    <t>More addresses allocated</t>
  </si>
  <si>
    <t>Fewer addresses</t>
  </si>
  <si>
    <t>ECR</t>
  </si>
  <si>
    <t>Container registry</t>
  </si>
  <si>
    <t>Higher storage</t>
  </si>
  <si>
    <t>Reduced images</t>
  </si>
  <si>
    <t>Other (S3, Secrets, Route53, Amplify, etc.)</t>
  </si>
  <si>
    <t>Misc services</t>
  </si>
  <si>
    <t>Reduction percent, peak to steady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</si>
</sst>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164" formatCode="mmmm\ d\,\ yyyy"/>
    <numFmt numFmtId="165" formatCode="\$#,##0.00"/>
    <numFmt numFmtId="167" formatCode="_-[$$-409]* #,##0.00_ ;_-[$$-409]* \-#,##0.00\ ;_-[$$-409]* &quot;-&quot;??_ ;_-@_ "/>
    <numFmt numFmtId="168" formatCode="[$-F800]dddd\,\ mmmm\ dd\,\ yyyy"/>
  </numFmts>
  <fonts count="30" x14ac:knownFonts="1">
    <font>
      <sz val="11"/>
      <color theme="1"/>
      <name val="Calibri"/>
      <family val="2"/>
      <scheme val="minor"/>
    </font>
    <font>
      <b/>
      <sz val="11"/>
      <color rgb="FF1F4E79"/>
      <name val="Calibri"/>
      <family val="2"/>
    </font>
    <font>
      <sz val="11"/>
      <color rgb="FF0000FF"/>
      <name val="Calibri"/>
      <family val="2"/>
    </font>
    <font>
      <b/>
      <sz val="14"/>
      <color rgb="FF1F4E79"/>
      <name val="Calibri"/>
      <family val="2"/>
    </font>
    <font>
      <b/>
      <sz val="11"/>
      <color rgb="FFFFFFFF"/>
      <name val="Calibri"/>
      <family val="2"/>
    </font>
    <font>
      <b/>
      <sz val="11"/>
      <name val="Calibri"/>
      <family val="2"/>
    </font>
    <font>
      <sz val="11"/>
      <color rgb="FF666666"/>
      <name val="Calibri"/>
      <family val="2"/>
    </font>
    <font>
      <sz val="11"/>
      <color theme="1"/>
      <name val="Calibri"/>
      <family val="2"/>
      <scheme val="minor"/>
    </font>
    <font>
      <b/>
      <sz val="11"/>
      <color theme="0"/>
      <name val="Calibri"/>
      <family val="2"/>
      <scheme val="minor"/>
    </font>
    <font>
      <b/>
      <sz val="11"/>
      <color theme="1"/>
      <name val="Calibri"/>
      <family val="2"/>
      <scheme val="minor"/>
    </font>
    <font>
      <b/>
      <sz val="11"/>
      <color rgb="FF666666"/>
      <name val="Calibri"/>
      <family val="2"/>
    </font>
    <font>
      <b/>
      <u/>
      <sz val="11"/>
      <color rgb="FF666666"/>
      <name val="Calibri"/>
      <family val="2"/>
    </font>
    <font>
      <i/>
      <sz val="11"/>
      <color rgb="FF666666"/>
      <name val="Calibri"/>
      <family val="2"/>
    </font>
    <font>
      <u/>
      <sz val="11"/>
      <color theme="1"/>
      <name val="Calibri"/>
      <family val="2"/>
      <scheme val="minor"/>
    </font>
    <font>
      <b/>
      <u/>
      <sz val="14"/>
      <color rgb="FF1F4E79"/>
      <name val="Calibri"/>
      <family val="2"/>
    </font>
    <font>
      <b/>
      <u/>
      <sz val="11"/>
      <color theme="1"/>
      <name val="Calibri"/>
      <family val="2"/>
      <scheme val="minor"/>
    </font>
    <font>
      <b/>
      <sz val="14"/>
      <color rgb="FF1F4E79"/>
      <name val="Calibri"/>
      <family val="2"/>
    </font>
    <font>
      <b/>
      <u/>
      <sz val="18"/>
      <color rgb="FF1F4E79"/>
      <name val="Calibri"/>
      <family val="2"/>
    </font>
    <font>
      <b/>
      <sz val="11"/>
      <color theme="0"/>
      <name val="Calibri"/>
      <family val="2"/>
    </font>
    <font>
      <b/>
      <sz val="11"/>
      <color rgb="FFFFFFFF"/>
      <name val="Calibri"/>
      <family val="2"/>
    </font>
    <font>
      <b/>
      <u/>
      <sz val="11"/>
      <color theme="0"/>
      <name val="Calibri"/>
      <family val="2"/>
      <scheme val="minor"/>
    </font>
    <font>
      <i/>
      <sz val="11"/>
      <color theme="4" tint="-0.249977111117893"/>
      <name val="Calibri"/>
      <family val="2"/>
    </font>
    <font>
      <b/>
      <u/>
      <sz val="12"/>
      <color theme="0"/>
      <name val="Calibri"/>
      <family val="2"/>
      <scheme val="minor"/>
    </font>
    <font>
      <b/>
      <sz val="12"/>
      <color theme="1"/>
      <name val="Calibri"/>
      <family val="2"/>
      <scheme val="minor"/>
    </font>
    <font>
      <b/>
      <sz val="12"/>
      <color theme="0"/>
      <name val="Calibri"/>
      <family val="2"/>
      <scheme val="minor"/>
    </font>
    <font>
      <b/>
      <u/>
      <sz val="11"/>
      <color rgb="FF1F4E79"/>
      <name val="Calibri"/>
      <family val="2"/>
    </font>
    <font>
      <sz val="11"/>
      <color theme="4" tint="-0.249977111117893"/>
      <name val="Calibri"/>
      <family val="2"/>
    </font>
    <font>
      <i/>
      <sz val="11"/>
      <color rgb="FFFF0000"/>
      <name val="Calibri"/>
      <family val="2"/>
    </font>
    <font>
      <b/>
      <u/>
      <sz val="12"/>
      <color theme="1"/>
      <name val="Calibri"/>
      <family val="2"/>
      <scheme val="minor"/>
    </font>
    <font>
      <b/>
      <i/>
      <sz val="10"/>
      <color rgb="FFFF0000"/>
      <name val="Calibri"/>
      <family val="2"/>
      <scheme val="minor"/>
    </font>
  </fonts>
  <fills count="4">
    <fill>
      <patternFill patternType="none"/>
    </fill>
    <fill>
      <patternFill patternType="gray125"/>
    </fill>
    <fill>
      <patternFill patternType="solid">
        <fgColor rgb="FF1F4E79"/>
      </patternFill>
    </fill>
    <fill>
      <patternFill patternType="solid">
        <fgColor theme="3"/>
        <bgColor indexed="64"/>
      </patternFill>
    </fill>
  </fills>
  <borders count="43">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medium">
        <color indexed="64"/>
      </left>
      <right style="thin">
        <color rgb="FFD9D9D9"/>
      </right>
      <top style="medium">
        <color indexed="64"/>
      </top>
      <bottom style="thin">
        <color rgb="FFD9D9D9"/>
      </bottom>
      <diagonal/>
    </border>
    <border>
      <left style="thin">
        <color rgb="FFD9D9D9"/>
      </left>
      <right style="thin">
        <color rgb="FFD9D9D9"/>
      </right>
      <top style="medium">
        <color indexed="64"/>
      </top>
      <bottom style="thin">
        <color rgb="FFD9D9D9"/>
      </bottom>
      <diagonal/>
    </border>
    <border>
      <left style="thin">
        <color rgb="FFD9D9D9"/>
      </left>
      <right style="medium">
        <color indexed="64"/>
      </right>
      <top style="medium">
        <color indexed="64"/>
      </top>
      <bottom style="thin">
        <color rgb="FFD9D9D9"/>
      </bottom>
      <diagonal/>
    </border>
    <border>
      <left style="medium">
        <color indexed="64"/>
      </left>
      <right style="thin">
        <color rgb="FFD9D9D9"/>
      </right>
      <top style="thin">
        <color rgb="FFD9D9D9"/>
      </top>
      <bottom style="thin">
        <color rgb="FFD9D9D9"/>
      </bottom>
      <diagonal/>
    </border>
    <border>
      <left style="thin">
        <color rgb="FFD9D9D9"/>
      </left>
      <right style="medium">
        <color indexed="64"/>
      </right>
      <top style="thin">
        <color rgb="FFD9D9D9"/>
      </top>
      <bottom style="thin">
        <color rgb="FFD9D9D9"/>
      </bottom>
      <diagonal/>
    </border>
    <border>
      <left style="medium">
        <color indexed="64"/>
      </left>
      <right style="thin">
        <color rgb="FFD9D9D9"/>
      </right>
      <top style="thin">
        <color rgb="FFD9D9D9"/>
      </top>
      <bottom style="medium">
        <color indexed="64"/>
      </bottom>
      <diagonal/>
    </border>
    <border>
      <left style="thin">
        <color rgb="FFD9D9D9"/>
      </left>
      <right style="thin">
        <color rgb="FFD9D9D9"/>
      </right>
      <top style="thin">
        <color rgb="FFD9D9D9"/>
      </top>
      <bottom style="medium">
        <color indexed="64"/>
      </bottom>
      <diagonal/>
    </border>
    <border>
      <left style="thin">
        <color rgb="FFD9D9D9"/>
      </left>
      <right style="medium">
        <color indexed="64"/>
      </right>
      <top style="thin">
        <color rgb="FFD9D9D9"/>
      </top>
      <bottom style="medium">
        <color indexed="64"/>
      </bottom>
      <diagonal/>
    </border>
    <border>
      <left style="medium">
        <color indexed="64"/>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style="medium">
        <color indexed="64"/>
      </right>
      <top style="thin">
        <color rgb="FFD9D9D9"/>
      </top>
      <bottom/>
      <diagonal/>
    </border>
    <border>
      <left style="medium">
        <color indexed="64"/>
      </left>
      <right style="thin">
        <color rgb="FFD9D9D9"/>
      </right>
      <top style="medium">
        <color indexed="64"/>
      </top>
      <bottom style="medium">
        <color indexed="64"/>
      </bottom>
      <diagonal/>
    </border>
    <border>
      <left style="thin">
        <color rgb="FFD9D9D9"/>
      </left>
      <right style="thin">
        <color rgb="FFD9D9D9"/>
      </right>
      <top style="medium">
        <color indexed="64"/>
      </top>
      <bottom style="medium">
        <color indexed="64"/>
      </bottom>
      <diagonal/>
    </border>
    <border>
      <left style="thin">
        <color rgb="FFD9D9D9"/>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rgb="FFD9D9D9"/>
      </right>
      <top style="medium">
        <color indexed="64"/>
      </top>
      <bottom style="thin">
        <color rgb="FFD9D9D9"/>
      </bottom>
      <diagonal/>
    </border>
    <border>
      <left/>
      <right style="thin">
        <color rgb="FFD9D9D9"/>
      </right>
      <top style="thin">
        <color rgb="FFD9D9D9"/>
      </top>
      <bottom style="medium">
        <color indexed="64"/>
      </bottom>
      <diagonal/>
    </border>
    <border>
      <left style="medium">
        <color indexed="64"/>
      </left>
      <right style="medium">
        <color indexed="64"/>
      </right>
      <top style="medium">
        <color indexed="64"/>
      </top>
      <bottom style="thin">
        <color rgb="FFD9D9D9"/>
      </bottom>
      <diagonal/>
    </border>
    <border>
      <left style="medium">
        <color indexed="64"/>
      </left>
      <right style="medium">
        <color indexed="64"/>
      </right>
      <top style="thin">
        <color rgb="FFD9D9D9"/>
      </top>
      <bottom style="thin">
        <color rgb="FFD9D9D9"/>
      </bottom>
      <diagonal/>
    </border>
    <border>
      <left style="medium">
        <color indexed="64"/>
      </left>
      <right style="medium">
        <color indexed="64"/>
      </right>
      <top style="thin">
        <color rgb="FFD9D9D9"/>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44" fontId="7" fillId="0" borderId="0" applyFont="0" applyFill="0" applyBorder="0" applyAlignment="0" applyProtection="0"/>
    <xf numFmtId="9" fontId="7" fillId="0" borderId="0" applyFont="0" applyFill="0" applyBorder="0" applyAlignment="0" applyProtection="0"/>
  </cellStyleXfs>
  <cellXfs count="10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0" fillId="0" borderId="1" xfId="0" applyBorder="1" applyAlignment="1">
      <alignment horizontal="left" vertical="center" wrapText="1"/>
    </xf>
    <xf numFmtId="165" fontId="0" fillId="0" borderId="1" xfId="0" applyNumberFormat="1" applyBorder="1" applyAlignment="1">
      <alignment horizontal="right" vertical="center" wrapText="1"/>
    </xf>
    <xf numFmtId="0" fontId="5" fillId="0" borderId="1" xfId="0" applyFont="1" applyBorder="1"/>
    <xf numFmtId="165" fontId="5" fillId="0" borderId="1" xfId="0" applyNumberFormat="1" applyFont="1" applyBorder="1" applyAlignment="1">
      <alignment horizontal="right" vertical="center" wrapText="1"/>
    </xf>
    <xf numFmtId="0" fontId="0" fillId="0" borderId="1" xfId="0" applyBorder="1" applyAlignment="1">
      <alignment vertical="top" wrapText="1"/>
    </xf>
    <xf numFmtId="0" fontId="2" fillId="0" borderId="1" xfId="0" applyFont="1" applyBorder="1" applyAlignment="1">
      <alignment horizontal="left" vertical="center" wrapText="1"/>
    </xf>
    <xf numFmtId="0" fontId="2" fillId="0" borderId="1" xfId="0" applyFont="1" applyBorder="1" applyAlignment="1">
      <alignment vertical="top" wrapText="1"/>
    </xf>
    <xf numFmtId="0" fontId="0" fillId="0" borderId="1" xfId="0" applyBorder="1" applyAlignment="1">
      <alignment horizontal="center" vertical="center" wrapText="1"/>
    </xf>
    <xf numFmtId="164" fontId="0" fillId="0" borderId="0" xfId="0" applyNumberFormat="1" applyAlignment="1">
      <alignment horizontal="left"/>
    </xf>
    <xf numFmtId="0" fontId="9" fillId="0" borderId="0" xfId="0" applyFont="1"/>
    <xf numFmtId="0" fontId="0" fillId="0" borderId="0" xfId="0" applyAlignment="1">
      <alignment horizontal="center"/>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0" fillId="0" borderId="6" xfId="0" applyBorder="1" applyAlignment="1">
      <alignment horizontal="center" vertical="center" wrapText="1"/>
    </xf>
    <xf numFmtId="165" fontId="0" fillId="0" borderId="7" xfId="0" applyNumberFormat="1" applyBorder="1" applyAlignment="1">
      <alignment horizontal="right" vertical="center" wrapText="1"/>
    </xf>
    <xf numFmtId="0" fontId="0" fillId="0" borderId="6" xfId="0" applyBorder="1" applyAlignment="1">
      <alignment horizontal="left" vertical="center" wrapText="1"/>
    </xf>
    <xf numFmtId="165" fontId="0" fillId="0" borderId="12" xfId="0" applyNumberFormat="1" applyBorder="1" applyAlignment="1">
      <alignment horizontal="right" vertical="center" wrapText="1"/>
    </xf>
    <xf numFmtId="165" fontId="0" fillId="0" borderId="13" xfId="0" applyNumberFormat="1" applyBorder="1" applyAlignment="1">
      <alignment horizontal="right"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17" fontId="0" fillId="0" borderId="11" xfId="0" applyNumberFormat="1" applyBorder="1" applyAlignment="1">
      <alignment horizontal="left" vertical="center" wrapText="1"/>
    </xf>
    <xf numFmtId="4" fontId="0" fillId="0" borderId="12" xfId="0" applyNumberFormat="1" applyBorder="1" applyAlignment="1">
      <alignment horizontal="right" vertical="center" wrapText="1"/>
    </xf>
    <xf numFmtId="0" fontId="16" fillId="0" borderId="0" xfId="0" applyFont="1"/>
    <xf numFmtId="0" fontId="17" fillId="0" borderId="0" xfId="0" applyFont="1"/>
    <xf numFmtId="0" fontId="18" fillId="3" borderId="14" xfId="0" applyFont="1" applyFill="1" applyBorder="1"/>
    <xf numFmtId="165" fontId="18" fillId="3" borderId="15" xfId="0" applyNumberFormat="1" applyFont="1" applyFill="1" applyBorder="1" applyAlignment="1">
      <alignment horizontal="right" vertical="center" wrapText="1"/>
    </xf>
    <xf numFmtId="165" fontId="18" fillId="3" borderId="16" xfId="0" applyNumberFormat="1" applyFont="1" applyFill="1" applyBorder="1" applyAlignment="1">
      <alignment horizontal="right" vertical="center" wrapText="1"/>
    </xf>
    <xf numFmtId="167" fontId="8" fillId="3" borderId="25" xfId="1" applyNumberFormat="1" applyFont="1" applyFill="1" applyBorder="1" applyAlignment="1">
      <alignment horizontal="center"/>
    </xf>
    <xf numFmtId="167" fontId="8" fillId="3" borderId="25" xfId="1" quotePrefix="1" applyNumberFormat="1" applyFont="1" applyFill="1" applyBorder="1" applyAlignment="1">
      <alignment horizontal="center"/>
    </xf>
    <xf numFmtId="0" fontId="8" fillId="3" borderId="26" xfId="0" applyFont="1" applyFill="1" applyBorder="1" applyAlignment="1">
      <alignment horizontal="center"/>
    </xf>
    <xf numFmtId="167" fontId="0" fillId="0" borderId="27" xfId="1" applyNumberFormat="1" applyFont="1" applyBorder="1" applyAlignment="1">
      <alignment horizontal="center"/>
    </xf>
    <xf numFmtId="14" fontId="0" fillId="0" borderId="28" xfId="0" applyNumberFormat="1" applyBorder="1" applyAlignment="1">
      <alignment horizontal="center"/>
    </xf>
    <xf numFmtId="0" fontId="20" fillId="3" borderId="29" xfId="0" applyFont="1" applyFill="1" applyBorder="1" applyAlignment="1">
      <alignment horizontal="center" wrapText="1"/>
    </xf>
    <xf numFmtId="0" fontId="20" fillId="3" borderId="30" xfId="0" applyFont="1" applyFill="1" applyBorder="1" applyAlignment="1">
      <alignment horizontal="center" wrapText="1"/>
    </xf>
    <xf numFmtId="16" fontId="15" fillId="0" borderId="0" xfId="0" applyNumberFormat="1" applyFont="1" applyAlignment="1">
      <alignment horizontal="left"/>
    </xf>
    <xf numFmtId="0" fontId="20" fillId="3" borderId="31" xfId="0" applyFont="1" applyFill="1" applyBorder="1" applyAlignment="1">
      <alignment horizontal="center" wrapText="1"/>
    </xf>
    <xf numFmtId="167" fontId="0" fillId="0" borderId="32" xfId="1" applyNumberFormat="1" applyFont="1" applyBorder="1" applyAlignment="1">
      <alignment horizontal="center"/>
    </xf>
    <xf numFmtId="167" fontId="8" fillId="3" borderId="33" xfId="1" applyNumberFormat="1" applyFont="1" applyFill="1" applyBorder="1" applyAlignment="1">
      <alignment horizontal="center"/>
    </xf>
    <xf numFmtId="0" fontId="22" fillId="3" borderId="34" xfId="0" applyFont="1" applyFill="1" applyBorder="1" applyAlignment="1">
      <alignment horizontal="center" wrapText="1"/>
    </xf>
    <xf numFmtId="167" fontId="23" fillId="0" borderId="35" xfId="1" applyNumberFormat="1" applyFont="1" applyBorder="1" applyAlignment="1">
      <alignment horizontal="center"/>
    </xf>
    <xf numFmtId="167" fontId="24" fillId="3" borderId="36" xfId="1" applyNumberFormat="1" applyFont="1" applyFill="1" applyBorder="1" applyAlignment="1">
      <alignment horizontal="center"/>
    </xf>
    <xf numFmtId="0" fontId="25" fillId="0" borderId="0" xfId="0" applyFont="1"/>
    <xf numFmtId="0" fontId="15" fillId="0" borderId="0" xfId="0" applyFont="1"/>
    <xf numFmtId="0" fontId="9" fillId="0" borderId="0" xfId="0" applyFont="1" applyAlignment="1">
      <alignment horizontal="right"/>
    </xf>
    <xf numFmtId="0" fontId="0" fillId="0" borderId="0" xfId="0" applyAlignment="1">
      <alignment vertical="top"/>
    </xf>
    <xf numFmtId="165" fontId="8" fillId="3" borderId="7" xfId="0" applyNumberFormat="1" applyFont="1" applyFill="1" applyBorder="1" applyAlignment="1">
      <alignment horizontal="right" vertical="center" wrapText="1"/>
    </xf>
    <xf numFmtId="165" fontId="8" fillId="3" borderId="10" xfId="0" applyNumberFormat="1" applyFont="1" applyFill="1" applyBorder="1" applyAlignment="1">
      <alignment horizontal="right" vertical="center" wrapText="1"/>
    </xf>
    <xf numFmtId="0" fontId="4" fillId="2" borderId="37" xfId="0" applyFont="1" applyFill="1" applyBorder="1" applyAlignment="1">
      <alignment horizontal="center" vertical="center" wrapText="1"/>
    </xf>
    <xf numFmtId="0" fontId="0" fillId="0" borderId="40" xfId="0" applyBorder="1" applyAlignment="1">
      <alignment horizontal="center" vertical="center" wrapText="1"/>
    </xf>
    <xf numFmtId="0" fontId="8" fillId="3" borderId="41" xfId="0" applyFont="1" applyFill="1" applyBorder="1" applyAlignment="1">
      <alignment horizontal="center" vertical="center" wrapText="1"/>
    </xf>
    <xf numFmtId="165" fontId="0" fillId="0" borderId="2" xfId="0" applyNumberFormat="1" applyBorder="1" applyAlignment="1">
      <alignment horizontal="center" vertical="center" wrapText="1"/>
    </xf>
    <xf numFmtId="165" fontId="0" fillId="0" borderId="1" xfId="0" applyNumberFormat="1" applyBorder="1" applyAlignment="1">
      <alignment horizontal="center" vertical="center" wrapText="1"/>
    </xf>
    <xf numFmtId="165" fontId="8" fillId="3" borderId="38" xfId="0" applyNumberFormat="1" applyFont="1" applyFill="1" applyBorder="1" applyAlignment="1">
      <alignment horizontal="center" vertical="center" wrapText="1"/>
    </xf>
    <xf numFmtId="165" fontId="8" fillId="3" borderId="9" xfId="0" applyNumberFormat="1" applyFont="1" applyFill="1" applyBorder="1" applyAlignment="1">
      <alignment horizontal="center" vertical="center" wrapText="1"/>
    </xf>
    <xf numFmtId="0" fontId="19" fillId="2" borderId="39" xfId="0" applyFont="1" applyFill="1" applyBorder="1" applyAlignment="1">
      <alignment horizontal="center" vertical="center" wrapText="1"/>
    </xf>
    <xf numFmtId="0" fontId="27" fillId="0" borderId="0" xfId="0" applyFont="1"/>
    <xf numFmtId="0" fontId="28" fillId="0" borderId="0" xfId="0" applyFont="1"/>
    <xf numFmtId="168" fontId="28" fillId="0" borderId="0" xfId="0" applyNumberFormat="1" applyFont="1" applyAlignment="1">
      <alignment horizontal="left"/>
    </xf>
    <xf numFmtId="17" fontId="0" fillId="0" borderId="28" xfId="0" applyNumberFormat="1" applyBorder="1" applyAlignment="1">
      <alignment horizontal="center"/>
    </xf>
    <xf numFmtId="16" fontId="29" fillId="0" borderId="0" xfId="0" applyNumberFormat="1" applyFont="1" applyAlignment="1">
      <alignment horizontal="left"/>
    </xf>
    <xf numFmtId="0" fontId="19" fillId="2" borderId="3" xfId="0" applyFont="1" applyFill="1" applyBorder="1" applyAlignment="1">
      <alignment horizontal="center" vertical="center" wrapText="1"/>
    </xf>
    <xf numFmtId="0" fontId="19" fillId="2" borderId="4" xfId="0" applyFont="1" applyFill="1" applyBorder="1" applyAlignment="1">
      <alignment horizontal="center" vertical="center" wrapText="1"/>
    </xf>
    <xf numFmtId="0" fontId="0" fillId="0" borderId="7" xfId="0" applyBorder="1" applyAlignment="1">
      <alignment vertical="top"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2" fillId="0" borderId="9" xfId="0" applyFont="1" applyBorder="1" applyAlignment="1">
      <alignment vertical="top" wrapText="1"/>
    </xf>
    <xf numFmtId="0" fontId="0" fillId="0" borderId="9" xfId="0" applyBorder="1" applyAlignment="1">
      <alignment horizontal="center" vertical="center" wrapText="1"/>
    </xf>
    <xf numFmtId="0" fontId="2" fillId="0" borderId="9" xfId="0" applyFont="1" applyBorder="1" applyAlignment="1">
      <alignment horizontal="left" vertical="center" wrapText="1"/>
    </xf>
    <xf numFmtId="0" fontId="0" fillId="0" borderId="10" xfId="0" applyBorder="1" applyAlignment="1">
      <alignment vertical="top" wrapText="1"/>
    </xf>
    <xf numFmtId="0" fontId="2" fillId="0" borderId="0" xfId="0" applyFont="1" applyAlignment="1">
      <alignment vertical="top" wrapText="1"/>
    </xf>
    <xf numFmtId="0" fontId="0" fillId="0" borderId="0" xfId="0"/>
    <xf numFmtId="0" fontId="0" fillId="0" borderId="0" xfId="0" applyAlignment="1">
      <alignment vertical="top" wrapText="1"/>
    </xf>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18" fillId="3" borderId="14" xfId="0" applyFont="1" applyFill="1" applyBorder="1" applyAlignment="1">
      <alignment horizontal="center" vertical="center" wrapText="1"/>
    </xf>
    <xf numFmtId="0" fontId="8" fillId="3" borderId="17" xfId="0" applyFont="1" applyFill="1" applyBorder="1"/>
    <xf numFmtId="0" fontId="8" fillId="3" borderId="18" xfId="0" applyFont="1" applyFill="1" applyBorder="1"/>
    <xf numFmtId="0" fontId="14" fillId="0" borderId="0" xfId="0" applyFont="1"/>
    <xf numFmtId="0" fontId="13" fillId="0" borderId="0" xfId="0" applyFont="1"/>
    <xf numFmtId="0" fontId="16" fillId="0" borderId="0" xfId="0" applyFont="1"/>
    <xf numFmtId="0" fontId="9" fillId="0" borderId="0" xfId="0" applyFont="1"/>
    <xf numFmtId="0" fontId="6" fillId="0" borderId="0" xfId="0" applyFont="1" applyAlignment="1">
      <alignment vertical="top" wrapText="1"/>
    </xf>
    <xf numFmtId="0" fontId="3" fillId="0" borderId="0" xfId="0" applyFont="1"/>
    <xf numFmtId="0" fontId="6" fillId="0" borderId="19" xfId="0" applyFont="1" applyBorder="1" applyAlignment="1">
      <alignment vertical="top" wrapText="1"/>
    </xf>
    <xf numFmtId="0" fontId="15" fillId="0" borderId="0" xfId="0" applyFont="1"/>
    <xf numFmtId="0" fontId="4" fillId="2" borderId="42" xfId="0" applyFont="1" applyFill="1" applyBorder="1" applyAlignment="1">
      <alignment horizontal="center" vertical="center" wrapText="1"/>
    </xf>
    <xf numFmtId="0" fontId="0" fillId="0" borderId="35" xfId="0" applyBorder="1" applyAlignment="1">
      <alignment horizontal="left" vertical="center" wrapText="1"/>
    </xf>
    <xf numFmtId="0" fontId="0" fillId="0" borderId="36" xfId="0" applyBorder="1" applyAlignment="1">
      <alignment horizontal="left" vertical="center" wrapText="1"/>
    </xf>
    <xf numFmtId="0" fontId="19" fillId="2" borderId="42" xfId="0" applyFont="1" applyFill="1" applyBorder="1" applyAlignment="1">
      <alignment horizontal="center" vertical="center" wrapText="1"/>
    </xf>
    <xf numFmtId="0" fontId="0" fillId="0" borderId="36" xfId="0" applyBorder="1" applyAlignment="1">
      <alignment vertical="top" wrapText="1"/>
    </xf>
    <xf numFmtId="0" fontId="0" fillId="0" borderId="35" xfId="0" applyBorder="1" applyAlignment="1">
      <alignment vertical="top" wrapText="1"/>
    </xf>
    <xf numFmtId="0" fontId="0" fillId="0" borderId="35" xfId="0" applyBorder="1"/>
    <xf numFmtId="167" fontId="0" fillId="0" borderId="35" xfId="1" applyNumberFormat="1" applyFont="1" applyBorder="1" applyAlignment="1">
      <alignment horizontal="center" vertical="center" wrapText="1"/>
    </xf>
    <xf numFmtId="167" fontId="0" fillId="0" borderId="36" xfId="1" applyNumberFormat="1" applyFont="1" applyBorder="1" applyAlignment="1">
      <alignment horizontal="center" vertical="center" wrapText="1"/>
    </xf>
    <xf numFmtId="14" fontId="0" fillId="0" borderId="35" xfId="0" applyNumberFormat="1" applyBorder="1" applyAlignment="1">
      <alignment horizontal="center"/>
    </xf>
    <xf numFmtId="0" fontId="0" fillId="0" borderId="35" xfId="0" applyBorder="1" applyAlignment="1">
      <alignment horizontal="center"/>
    </xf>
    <xf numFmtId="0" fontId="0" fillId="0" borderId="36" xfId="0" applyBorder="1" applyAlignment="1">
      <alignment horizontal="center"/>
    </xf>
    <xf numFmtId="9" fontId="0" fillId="0" borderId="35" xfId="2" applyFont="1" applyBorder="1" applyAlignment="1">
      <alignment horizontal="center" vertical="center" wrapText="1"/>
    </xf>
    <xf numFmtId="9" fontId="0" fillId="0" borderId="36" xfId="2" applyFont="1" applyBorder="1" applyAlignment="1">
      <alignment horizontal="center" vertical="center" wrapText="1"/>
    </xf>
    <xf numFmtId="167" fontId="9" fillId="0" borderId="0" xfId="0" applyNumberFormat="1" applyFont="1"/>
  </cellXfs>
  <cellStyles count="3">
    <cellStyle name="Currency" xfId="1" builtinId="4"/>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GB"/>
              <a:t>Total Monthly Spend (Incl Tax)</a:t>
            </a:r>
          </a:p>
        </c:rich>
      </c:tx>
      <c:overlay val="0"/>
    </c:title>
    <c:autoTitleDeleted val="0"/>
    <c:plotArea>
      <c:layout/>
      <c:lineChart>
        <c:grouping val="standard"/>
        <c:varyColors val="0"/>
        <c:ser>
          <c:idx val="0"/>
          <c:order val="0"/>
          <c:tx>
            <c:strRef>
              <c:f>'2. Monthly Spend'!$C$4</c:f>
              <c:strCache>
                <c:ptCount val="1"/>
                <c:pt idx="0">
                  <c:v>Total (Incl Tax)</c:v>
                </c:pt>
              </c:strCache>
            </c:strRef>
          </c:tx>
          <c:spPr>
            <a:ln/>
          </c:spPr>
          <c:marker>
            <c:symbol val="none"/>
          </c:marker>
          <c:cat>
            <c:strRef>
              <c:f>'2. Monthly Spend'!$B$5:$B$8</c:f>
              <c:strCache>
                <c:ptCount val="4"/>
                <c:pt idx="0">
                  <c:v>Oct 2025</c:v>
                </c:pt>
                <c:pt idx="1">
                  <c:v>Nov 2025</c:v>
                </c:pt>
                <c:pt idx="2">
                  <c:v>Dec 2025</c:v>
                </c:pt>
                <c:pt idx="3">
                  <c:v>Jan-26</c:v>
                </c:pt>
              </c:strCache>
            </c:strRef>
          </c:cat>
          <c:val>
            <c:numRef>
              <c:f>'2. Monthly Spend'!$C$5:$C$8</c:f>
              <c:numCache>
                <c:formatCode>\$#,##0.00</c:formatCode>
                <c:ptCount val="4"/>
                <c:pt idx="0">
                  <c:v>4298.9399999999996</c:v>
                </c:pt>
                <c:pt idx="1">
                  <c:v>9679.36</c:v>
                </c:pt>
                <c:pt idx="2">
                  <c:v>9269.34</c:v>
                </c:pt>
                <c:pt idx="3" formatCode="#,##0.00">
                  <c:v>1827</c:v>
                </c:pt>
              </c:numCache>
            </c:numRef>
          </c:val>
          <c:smooth val="0"/>
          <c:extLst>
            <c:ext xmlns:c16="http://schemas.microsoft.com/office/drawing/2014/chart" uri="{C3380CC4-5D6E-409C-BE32-E72D297353CC}">
              <c16:uniqueId val="{00000000-74A8-4270-9103-68981600D600}"/>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numFmt formatCode="\$#,##0.00" sourceLinked="1"/>
        <c:majorTickMark val="none"/>
        <c:minorTickMark val="none"/>
        <c:tickLblPos val="nextTo"/>
        <c:crossAx val="48650112"/>
        <c:crosses val="autoZero"/>
        <c:crossBetween val="between"/>
      </c:valAx>
    </c:plotArea>
    <c:legend>
      <c:legendPos val="r"/>
      <c:overlay val="1"/>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GB"/>
              <a:t>Monthly Spend by Major Services (Excl Tax)</a:t>
            </a:r>
          </a:p>
        </c:rich>
      </c:tx>
      <c:overlay val="0"/>
    </c:title>
    <c:autoTitleDeleted val="0"/>
    <c:plotArea>
      <c:layout>
        <c:manualLayout>
          <c:layoutTarget val="inner"/>
          <c:xMode val="edge"/>
          <c:yMode val="edge"/>
          <c:x val="4.3997940311956918E-2"/>
          <c:y val="0.10515874537104478"/>
          <c:w val="0.95599639950833104"/>
          <c:h val="0.82601275236896576"/>
        </c:manualLayout>
      </c:layout>
      <c:barChart>
        <c:barDir val="col"/>
        <c:grouping val="stacked"/>
        <c:varyColors val="1"/>
        <c:ser>
          <c:idx val="0"/>
          <c:order val="0"/>
          <c:tx>
            <c:strRef>
              <c:f>'3. Service Breakdown'!$C$4</c:f>
              <c:strCache>
                <c:ptCount val="1"/>
                <c:pt idx="0">
                  <c:v>ElastiCache($)</c:v>
                </c:pt>
              </c:strCache>
            </c:strRef>
          </c:tx>
          <c:spPr>
            <a:ln/>
          </c:spPr>
          <c:invertIfNegative val="1"/>
          <c:cat>
            <c:strRef>
              <c:f>'3. Service Breakdown'!$B$5:$B$8</c:f>
              <c:strCache>
                <c:ptCount val="4"/>
                <c:pt idx="0">
                  <c:v>Oct 2025</c:v>
                </c:pt>
                <c:pt idx="1">
                  <c:v>Nov 2025</c:v>
                </c:pt>
                <c:pt idx="2">
                  <c:v>Dec 2025</c:v>
                </c:pt>
                <c:pt idx="3">
                  <c:v>Jan 2026</c:v>
                </c:pt>
              </c:strCache>
            </c:strRef>
          </c:cat>
          <c:val>
            <c:numRef>
              <c:f>'3. Service Breakdown'!$C$5:$C$8</c:f>
              <c:numCache>
                <c:formatCode>\$#,##0.00</c:formatCode>
                <c:ptCount val="4"/>
                <c:pt idx="0">
                  <c:v>1299.46</c:v>
                </c:pt>
                <c:pt idx="1">
                  <c:v>3317.76</c:v>
                </c:pt>
                <c:pt idx="2">
                  <c:v>3487.02</c:v>
                </c:pt>
                <c:pt idx="3">
                  <c:v>57</c:v>
                </c:pt>
              </c:numCache>
            </c:numRef>
          </c:val>
          <c:extLst>
            <c:ext xmlns:c16="http://schemas.microsoft.com/office/drawing/2014/chart" uri="{C3380CC4-5D6E-409C-BE32-E72D297353CC}">
              <c16:uniqueId val="{00000000-8FE6-4077-ADF2-CE86425014D5}"/>
            </c:ext>
          </c:extLst>
        </c:ser>
        <c:ser>
          <c:idx val="1"/>
          <c:order val="1"/>
          <c:tx>
            <c:strRef>
              <c:f>'3. Service Breakdown'!$D$4</c:f>
              <c:strCache>
                <c:ptCount val="1"/>
                <c:pt idx="0">
                  <c:v>Relational Database Service($)</c:v>
                </c:pt>
              </c:strCache>
            </c:strRef>
          </c:tx>
          <c:spPr>
            <a:ln/>
          </c:spPr>
          <c:invertIfNegative val="1"/>
          <c:cat>
            <c:strRef>
              <c:f>'3. Service Breakdown'!$B$5:$B$8</c:f>
              <c:strCache>
                <c:ptCount val="4"/>
                <c:pt idx="0">
                  <c:v>Oct 2025</c:v>
                </c:pt>
                <c:pt idx="1">
                  <c:v>Nov 2025</c:v>
                </c:pt>
                <c:pt idx="2">
                  <c:v>Dec 2025</c:v>
                </c:pt>
                <c:pt idx="3">
                  <c:v>Jan 2026</c:v>
                </c:pt>
              </c:strCache>
            </c:strRef>
          </c:cat>
          <c:val>
            <c:numRef>
              <c:f>'3. Service Breakdown'!$D$5:$D$8</c:f>
              <c:numCache>
                <c:formatCode>\$#,##0.00</c:formatCode>
                <c:ptCount val="4"/>
                <c:pt idx="0">
                  <c:v>1225.77</c:v>
                </c:pt>
                <c:pt idx="1">
                  <c:v>2026.1</c:v>
                </c:pt>
                <c:pt idx="2">
                  <c:v>758.52</c:v>
                </c:pt>
                <c:pt idx="3">
                  <c:v>122</c:v>
                </c:pt>
              </c:numCache>
            </c:numRef>
          </c:val>
          <c:extLst>
            <c:ext xmlns:c16="http://schemas.microsoft.com/office/drawing/2014/chart" uri="{C3380CC4-5D6E-409C-BE32-E72D297353CC}">
              <c16:uniqueId val="{00000001-8FE6-4077-ADF2-CE86425014D5}"/>
            </c:ext>
          </c:extLst>
        </c:ser>
        <c:ser>
          <c:idx val="2"/>
          <c:order val="2"/>
          <c:tx>
            <c:strRef>
              <c:f>'3. Service Breakdown'!$E$4</c:f>
              <c:strCache>
                <c:ptCount val="1"/>
                <c:pt idx="0">
                  <c:v>OpenSearch Service($)</c:v>
                </c:pt>
              </c:strCache>
            </c:strRef>
          </c:tx>
          <c:spPr>
            <a:ln/>
          </c:spPr>
          <c:invertIfNegative val="1"/>
          <c:cat>
            <c:strRef>
              <c:f>'3. Service Breakdown'!$B$5:$B$8</c:f>
              <c:strCache>
                <c:ptCount val="4"/>
                <c:pt idx="0">
                  <c:v>Oct 2025</c:v>
                </c:pt>
                <c:pt idx="1">
                  <c:v>Nov 2025</c:v>
                </c:pt>
                <c:pt idx="2">
                  <c:v>Dec 2025</c:v>
                </c:pt>
                <c:pt idx="3">
                  <c:v>Jan 2026</c:v>
                </c:pt>
              </c:strCache>
            </c:strRef>
          </c:cat>
          <c:val>
            <c:numRef>
              <c:f>'3. Service Breakdown'!$E$5:$E$8</c:f>
              <c:numCache>
                <c:formatCode>\$#,##0.00</c:formatCode>
                <c:ptCount val="4"/>
                <c:pt idx="0">
                  <c:v>343.51</c:v>
                </c:pt>
                <c:pt idx="1">
                  <c:v>880.75</c:v>
                </c:pt>
                <c:pt idx="2">
                  <c:v>1172.68</c:v>
                </c:pt>
                <c:pt idx="3">
                  <c:v>590</c:v>
                </c:pt>
              </c:numCache>
            </c:numRef>
          </c:val>
          <c:extLst>
            <c:ext xmlns:c16="http://schemas.microsoft.com/office/drawing/2014/chart" uri="{C3380CC4-5D6E-409C-BE32-E72D297353CC}">
              <c16:uniqueId val="{00000002-8FE6-4077-ADF2-CE86425014D5}"/>
            </c:ext>
          </c:extLst>
        </c:ser>
        <c:ser>
          <c:idx val="3"/>
          <c:order val="3"/>
          <c:tx>
            <c:strRef>
              <c:f>'3. Service Breakdown'!$F$4</c:f>
              <c:strCache>
                <c:ptCount val="1"/>
                <c:pt idx="0">
                  <c:v>EC2-Instances($)</c:v>
                </c:pt>
              </c:strCache>
            </c:strRef>
          </c:tx>
          <c:spPr>
            <a:ln/>
          </c:spPr>
          <c:invertIfNegative val="1"/>
          <c:cat>
            <c:strRef>
              <c:f>'3. Service Breakdown'!$B$5:$B$8</c:f>
              <c:strCache>
                <c:ptCount val="4"/>
                <c:pt idx="0">
                  <c:v>Oct 2025</c:v>
                </c:pt>
                <c:pt idx="1">
                  <c:v>Nov 2025</c:v>
                </c:pt>
                <c:pt idx="2">
                  <c:v>Dec 2025</c:v>
                </c:pt>
                <c:pt idx="3">
                  <c:v>Jan 2026</c:v>
                </c:pt>
              </c:strCache>
            </c:strRef>
          </c:cat>
          <c:val>
            <c:numRef>
              <c:f>'3. Service Breakdown'!$F$5:$F$8</c:f>
              <c:numCache>
                <c:formatCode>\$#,##0.00</c:formatCode>
                <c:ptCount val="4"/>
                <c:pt idx="0">
                  <c:v>125.83</c:v>
                </c:pt>
                <c:pt idx="1">
                  <c:v>456.22</c:v>
                </c:pt>
                <c:pt idx="2">
                  <c:v>1174.71</c:v>
                </c:pt>
                <c:pt idx="3">
                  <c:v>290</c:v>
                </c:pt>
              </c:numCache>
            </c:numRef>
          </c:val>
          <c:extLst>
            <c:ext xmlns:c16="http://schemas.microsoft.com/office/drawing/2014/chart" uri="{C3380CC4-5D6E-409C-BE32-E72D297353CC}">
              <c16:uniqueId val="{00000003-8FE6-4077-ADF2-CE86425014D5}"/>
            </c:ext>
          </c:extLst>
        </c:ser>
        <c:ser>
          <c:idx val="4"/>
          <c:order val="4"/>
          <c:tx>
            <c:strRef>
              <c:f>'3. Service Breakdown'!$G$4</c:f>
              <c:strCache>
                <c:ptCount val="1"/>
                <c:pt idx="0">
                  <c:v>Elastic Container Service for Kubernetes($)</c:v>
                </c:pt>
              </c:strCache>
            </c:strRef>
          </c:tx>
          <c:spPr>
            <a:ln/>
          </c:spPr>
          <c:invertIfNegative val="1"/>
          <c:cat>
            <c:strRef>
              <c:f>'3. Service Breakdown'!$B$5:$B$8</c:f>
              <c:strCache>
                <c:ptCount val="4"/>
                <c:pt idx="0">
                  <c:v>Oct 2025</c:v>
                </c:pt>
                <c:pt idx="1">
                  <c:v>Nov 2025</c:v>
                </c:pt>
                <c:pt idx="2">
                  <c:v>Dec 2025</c:v>
                </c:pt>
                <c:pt idx="3">
                  <c:v>Jan 2026</c:v>
                </c:pt>
              </c:strCache>
            </c:strRef>
          </c:cat>
          <c:val>
            <c:numRef>
              <c:f>'3. Service Breakdown'!$G$5:$G$8</c:f>
              <c:numCache>
                <c:formatCode>\$#,##0.00</c:formatCode>
                <c:ptCount val="4"/>
                <c:pt idx="0">
                  <c:v>170.26</c:v>
                </c:pt>
                <c:pt idx="1">
                  <c:v>432</c:v>
                </c:pt>
                <c:pt idx="2">
                  <c:v>143.38</c:v>
                </c:pt>
                <c:pt idx="3">
                  <c:v>45</c:v>
                </c:pt>
              </c:numCache>
            </c:numRef>
          </c:val>
          <c:extLst>
            <c:ext xmlns:c16="http://schemas.microsoft.com/office/drawing/2014/chart" uri="{C3380CC4-5D6E-409C-BE32-E72D297353CC}">
              <c16:uniqueId val="{00000004-8FE6-4077-ADF2-CE86425014D5}"/>
            </c:ext>
          </c:extLst>
        </c:ser>
        <c:ser>
          <c:idx val="5"/>
          <c:order val="5"/>
          <c:tx>
            <c:strRef>
              <c:f>'3. Service Breakdown'!$H$4</c:f>
              <c:strCache>
                <c:ptCount val="1"/>
                <c:pt idx="0">
                  <c:v>Support (Business)($)</c:v>
                </c:pt>
              </c:strCache>
            </c:strRef>
          </c:tx>
          <c:spPr>
            <a:ln/>
          </c:spPr>
          <c:invertIfNegative val="1"/>
          <c:cat>
            <c:strRef>
              <c:f>'3. Service Breakdown'!$B$5:$B$8</c:f>
              <c:strCache>
                <c:ptCount val="4"/>
                <c:pt idx="0">
                  <c:v>Oct 2025</c:v>
                </c:pt>
                <c:pt idx="1">
                  <c:v>Nov 2025</c:v>
                </c:pt>
                <c:pt idx="2">
                  <c:v>Dec 2025</c:v>
                </c:pt>
                <c:pt idx="3">
                  <c:v>Jan 2026</c:v>
                </c:pt>
              </c:strCache>
            </c:strRef>
          </c:cat>
          <c:val>
            <c:numRef>
              <c:f>'3. Service Breakdown'!$H$5:$H$8</c:f>
              <c:numCache>
                <c:formatCode>\$#,##0.00</c:formatCode>
                <c:ptCount val="4"/>
                <c:pt idx="0">
                  <c:v>325.68</c:v>
                </c:pt>
                <c:pt idx="1">
                  <c:v>733.28</c:v>
                </c:pt>
                <c:pt idx="2">
                  <c:v>700.86</c:v>
                </c:pt>
                <c:pt idx="3">
                  <c:v>68.3</c:v>
                </c:pt>
              </c:numCache>
            </c:numRef>
          </c:val>
          <c:extLst>
            <c:ext xmlns:c16="http://schemas.microsoft.com/office/drawing/2014/chart" uri="{C3380CC4-5D6E-409C-BE32-E72D297353CC}">
              <c16:uniqueId val="{00000005-8FE6-4077-ADF2-CE86425014D5}"/>
            </c:ext>
          </c:extLst>
        </c:ser>
        <c:ser>
          <c:idx val="6"/>
          <c:order val="6"/>
          <c:tx>
            <c:strRef>
              <c:f>'3. Service Breakdown'!$I$4</c:f>
              <c:strCache>
                <c:ptCount val="1"/>
                <c:pt idx="0">
                  <c:v>CloudWatch($)</c:v>
                </c:pt>
              </c:strCache>
            </c:strRef>
          </c:tx>
          <c:spPr>
            <a:ln/>
          </c:spPr>
          <c:invertIfNegative val="1"/>
          <c:cat>
            <c:strRef>
              <c:f>'3. Service Breakdown'!$B$5:$B$8</c:f>
              <c:strCache>
                <c:ptCount val="4"/>
                <c:pt idx="0">
                  <c:v>Oct 2025</c:v>
                </c:pt>
                <c:pt idx="1">
                  <c:v>Nov 2025</c:v>
                </c:pt>
                <c:pt idx="2">
                  <c:v>Dec 2025</c:v>
                </c:pt>
                <c:pt idx="3">
                  <c:v>Jan 2026</c:v>
                </c:pt>
              </c:strCache>
            </c:strRef>
          </c:cat>
          <c:val>
            <c:numRef>
              <c:f>'3. Service Breakdown'!$I$5:$I$8</c:f>
              <c:numCache>
                <c:formatCode>\$#,##0.00</c:formatCode>
                <c:ptCount val="4"/>
                <c:pt idx="0">
                  <c:v>56.6</c:v>
                </c:pt>
                <c:pt idx="1">
                  <c:v>90</c:v>
                </c:pt>
                <c:pt idx="2">
                  <c:v>37.200000000000003</c:v>
                </c:pt>
                <c:pt idx="3">
                  <c:v>18</c:v>
                </c:pt>
              </c:numCache>
            </c:numRef>
          </c:val>
          <c:extLst>
            <c:ext xmlns:c16="http://schemas.microsoft.com/office/drawing/2014/chart" uri="{C3380CC4-5D6E-409C-BE32-E72D297353CC}">
              <c16:uniqueId val="{00000006-8FE6-4077-ADF2-CE86425014D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numFmt formatCode="\$#,##0.00" sourceLinked="1"/>
        <c:majorTickMark val="none"/>
        <c:minorTickMark val="none"/>
        <c:tickLblPos val="nextTo"/>
        <c:crossAx val="48650112"/>
        <c:crosses val="autoZero"/>
        <c:crossBetween val="between"/>
      </c:valAx>
    </c:plotArea>
    <c:legend>
      <c:legendPos val="r"/>
      <c:layout>
        <c:manualLayout>
          <c:xMode val="edge"/>
          <c:yMode val="edge"/>
          <c:x val="0.87219248417961881"/>
          <c:y val="1.7991449879861485E-2"/>
          <c:w val="0.12453761849515721"/>
          <c:h val="0.76237689446291634"/>
        </c:manualLayout>
      </c:layout>
      <c:overlay val="1"/>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36830</xdr:colOff>
      <xdr:row>13</xdr:row>
      <xdr:rowOff>0</xdr:rowOff>
    </xdr:from>
    <xdr:to>
      <xdr:col>9</xdr:col>
      <xdr:colOff>1207770</xdr:colOff>
      <xdr:row>25</xdr:row>
      <xdr:rowOff>39370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25400</xdr:colOff>
      <xdr:row>10</xdr:row>
      <xdr:rowOff>158750</xdr:rowOff>
    </xdr:from>
    <xdr:to>
      <xdr:col>12</xdr:col>
      <xdr:colOff>152400</xdr:colOff>
      <xdr:row>35</xdr:row>
      <xdr:rowOff>12700</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182880</xdr:colOff>
      <xdr:row>4</xdr:row>
      <xdr:rowOff>95251</xdr:rowOff>
    </xdr:from>
    <xdr:to>
      <xdr:col>5</xdr:col>
      <xdr:colOff>468630</xdr:colOff>
      <xdr:row>24</xdr:row>
      <xdr:rowOff>107143</xdr:rowOff>
    </xdr:to>
    <xdr:pic>
      <xdr:nvPicPr>
        <xdr:cNvPr id="5" name="Picture 4">
          <a:extLst>
            <a:ext uri="{FF2B5EF4-FFF2-40B4-BE49-F238E27FC236}">
              <a16:creationId xmlns:a16="http://schemas.microsoft.com/office/drawing/2014/main" id="{CBAA7B9B-84FA-9B77-7FE5-9888481DBFCC}"/>
            </a:ext>
          </a:extLst>
        </xdr:cNvPr>
        <xdr:cNvPicPr>
          <a:picLocks noChangeAspect="1"/>
        </xdr:cNvPicPr>
      </xdr:nvPicPr>
      <xdr:blipFill>
        <a:blip xmlns:r="http://schemas.openxmlformats.org/officeDocument/2006/relationships" r:embed="rId1"/>
        <a:stretch>
          <a:fillRect/>
        </a:stretch>
      </xdr:blipFill>
      <xdr:spPr>
        <a:xfrm>
          <a:off x="182880" y="946151"/>
          <a:ext cx="5676900" cy="3694892"/>
        </a:xfrm>
        <a:prstGeom prst="rect">
          <a:avLst/>
        </a:prstGeom>
      </xdr:spPr>
    </xdr:pic>
    <xdr:clientData/>
  </xdr:twoCellAnchor>
  <xdr:twoCellAnchor editAs="oneCell">
    <xdr:from>
      <xdr:col>1</xdr:col>
      <xdr:colOff>45086</xdr:colOff>
      <xdr:row>26</xdr:row>
      <xdr:rowOff>83185</xdr:rowOff>
    </xdr:from>
    <xdr:to>
      <xdr:col>5</xdr:col>
      <xdr:colOff>317106</xdr:colOff>
      <xdr:row>50</xdr:row>
      <xdr:rowOff>62230</xdr:rowOff>
    </xdr:to>
    <xdr:pic>
      <xdr:nvPicPr>
        <xdr:cNvPr id="6" name="Picture 5">
          <a:extLst>
            <a:ext uri="{FF2B5EF4-FFF2-40B4-BE49-F238E27FC236}">
              <a16:creationId xmlns:a16="http://schemas.microsoft.com/office/drawing/2014/main" id="{429736F8-C2C3-2589-A484-3D42A0B3FC68}"/>
            </a:ext>
          </a:extLst>
        </xdr:cNvPr>
        <xdr:cNvPicPr>
          <a:picLocks noChangeAspect="1"/>
        </xdr:cNvPicPr>
      </xdr:nvPicPr>
      <xdr:blipFill>
        <a:blip xmlns:r="http://schemas.openxmlformats.org/officeDocument/2006/relationships" r:embed="rId2"/>
        <a:stretch>
          <a:fillRect/>
        </a:stretch>
      </xdr:blipFill>
      <xdr:spPr>
        <a:xfrm>
          <a:off x="229236" y="4972685"/>
          <a:ext cx="5480290" cy="4401185"/>
        </a:xfrm>
        <a:prstGeom prst="rect">
          <a:avLst/>
        </a:prstGeom>
      </xdr:spPr>
    </xdr:pic>
    <xdr:clientData/>
  </xdr:twoCellAnchor>
  <xdr:twoCellAnchor editAs="oneCell">
    <xdr:from>
      <xdr:col>1</xdr:col>
      <xdr:colOff>0</xdr:colOff>
      <xdr:row>53</xdr:row>
      <xdr:rowOff>0</xdr:rowOff>
    </xdr:from>
    <xdr:to>
      <xdr:col>5</xdr:col>
      <xdr:colOff>384953</xdr:colOff>
      <xdr:row>67</xdr:row>
      <xdr:rowOff>165100</xdr:rowOff>
    </xdr:to>
    <xdr:pic>
      <xdr:nvPicPr>
        <xdr:cNvPr id="7" name="Picture 6">
          <a:extLst>
            <a:ext uri="{FF2B5EF4-FFF2-40B4-BE49-F238E27FC236}">
              <a16:creationId xmlns:a16="http://schemas.microsoft.com/office/drawing/2014/main" id="{2EAE59DF-01F5-FBA4-78B9-5795C959BDA6}"/>
            </a:ext>
          </a:extLst>
        </xdr:cNvPr>
        <xdr:cNvPicPr>
          <a:picLocks noChangeAspect="1"/>
        </xdr:cNvPicPr>
      </xdr:nvPicPr>
      <xdr:blipFill>
        <a:blip xmlns:r="http://schemas.openxmlformats.org/officeDocument/2006/relationships" r:embed="rId3"/>
        <a:stretch>
          <a:fillRect/>
        </a:stretch>
      </xdr:blipFill>
      <xdr:spPr>
        <a:xfrm>
          <a:off x="184150" y="9886950"/>
          <a:ext cx="5591953" cy="27432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27"/>
  <sheetViews>
    <sheetView showGridLines="0" topLeftCell="A6" workbookViewId="0">
      <selection activeCell="B20" sqref="B20:F20"/>
    </sheetView>
  </sheetViews>
  <sheetFormatPr defaultRowHeight="14.4" x14ac:dyDescent="0.55000000000000004"/>
  <cols>
    <col min="1" max="1" width="2.578125" customWidth="1"/>
    <col min="2" max="2" width="10.734375" customWidth="1"/>
    <col min="3" max="3" width="26" customWidth="1"/>
    <col min="4" max="6" width="22" customWidth="1"/>
  </cols>
  <sheetData>
    <row r="2" spans="2:6" ht="23.1" x14ac:dyDescent="0.85">
      <c r="B2" s="28" t="s">
        <v>0</v>
      </c>
    </row>
    <row r="4" spans="2:6" x14ac:dyDescent="0.55000000000000004">
      <c r="B4" s="48" t="s">
        <v>153</v>
      </c>
      <c r="C4" t="s">
        <v>1</v>
      </c>
    </row>
    <row r="5" spans="2:6" x14ac:dyDescent="0.55000000000000004">
      <c r="B5" s="48" t="s">
        <v>154</v>
      </c>
      <c r="C5" t="s">
        <v>2</v>
      </c>
    </row>
    <row r="6" spans="2:6" x14ac:dyDescent="0.55000000000000004">
      <c r="B6" s="48" t="s">
        <v>155</v>
      </c>
      <c r="C6" t="s">
        <v>3</v>
      </c>
    </row>
    <row r="7" spans="2:6" x14ac:dyDescent="0.55000000000000004">
      <c r="B7" s="48" t="s">
        <v>156</v>
      </c>
      <c r="C7" s="12">
        <v>46033</v>
      </c>
    </row>
    <row r="9" spans="2:6" x14ac:dyDescent="0.55000000000000004">
      <c r="B9" s="46" t="s">
        <v>4</v>
      </c>
    </row>
    <row r="10" spans="2:6" x14ac:dyDescent="0.55000000000000004">
      <c r="B10" s="76" t="s">
        <v>152</v>
      </c>
      <c r="C10" s="75"/>
      <c r="D10" s="75"/>
      <c r="E10" s="75"/>
      <c r="F10" s="75"/>
    </row>
    <row r="11" spans="2:6" x14ac:dyDescent="0.55000000000000004">
      <c r="B11" s="75"/>
      <c r="C11" s="75"/>
      <c r="D11" s="75"/>
      <c r="E11" s="75"/>
      <c r="F11" s="75"/>
    </row>
    <row r="12" spans="2:6" x14ac:dyDescent="0.55000000000000004">
      <c r="B12" s="75"/>
      <c r="C12" s="75"/>
      <c r="D12" s="75"/>
      <c r="E12" s="75"/>
      <c r="F12" s="75"/>
    </row>
    <row r="14" spans="2:6" x14ac:dyDescent="0.55000000000000004">
      <c r="B14" s="47" t="s">
        <v>146</v>
      </c>
    </row>
    <row r="15" spans="2:6" x14ac:dyDescent="0.55000000000000004">
      <c r="B15" s="76" t="s">
        <v>157</v>
      </c>
      <c r="C15" s="75"/>
      <c r="D15" s="75"/>
      <c r="E15" s="75"/>
      <c r="F15" s="75"/>
    </row>
    <row r="16" spans="2:6" x14ac:dyDescent="0.55000000000000004">
      <c r="B16" s="76" t="s">
        <v>158</v>
      </c>
      <c r="C16" s="75"/>
      <c r="D16" s="75"/>
      <c r="E16" s="75"/>
      <c r="F16" s="75"/>
    </row>
    <row r="17" spans="2:6" x14ac:dyDescent="0.55000000000000004">
      <c r="B17" s="76" t="s">
        <v>159</v>
      </c>
      <c r="C17" s="75"/>
      <c r="D17" s="75"/>
      <c r="E17" s="75"/>
      <c r="F17" s="75"/>
    </row>
    <row r="18" spans="2:6" x14ac:dyDescent="0.55000000000000004">
      <c r="B18" s="76" t="s">
        <v>160</v>
      </c>
      <c r="C18" s="75"/>
      <c r="D18" s="75"/>
      <c r="E18" s="75"/>
      <c r="F18" s="75"/>
    </row>
    <row r="19" spans="2:6" x14ac:dyDescent="0.55000000000000004">
      <c r="B19" s="76" t="s">
        <v>161</v>
      </c>
      <c r="C19" s="75"/>
      <c r="D19" s="75"/>
      <c r="E19" s="75"/>
      <c r="F19" s="75"/>
    </row>
    <row r="20" spans="2:6" x14ac:dyDescent="0.55000000000000004">
      <c r="B20" s="76" t="s">
        <v>162</v>
      </c>
      <c r="C20" s="75"/>
      <c r="D20" s="75"/>
      <c r="E20" s="75"/>
      <c r="F20" s="75"/>
    </row>
    <row r="21" spans="2:6" x14ac:dyDescent="0.55000000000000004">
      <c r="B21" s="49" t="s">
        <v>163</v>
      </c>
    </row>
    <row r="22" spans="2:6" x14ac:dyDescent="0.55000000000000004">
      <c r="B22" s="49"/>
    </row>
    <row r="23" spans="2:6" x14ac:dyDescent="0.55000000000000004">
      <c r="B23" s="1" t="s">
        <v>5</v>
      </c>
    </row>
    <row r="24" spans="2:6" x14ac:dyDescent="0.55000000000000004">
      <c r="B24" s="74" t="s">
        <v>6</v>
      </c>
      <c r="C24" s="75"/>
      <c r="D24" s="75"/>
      <c r="E24" s="75"/>
      <c r="F24" s="75"/>
    </row>
    <row r="25" spans="2:6" x14ac:dyDescent="0.55000000000000004">
      <c r="B25" s="74" t="s">
        <v>7</v>
      </c>
      <c r="C25" s="75"/>
      <c r="D25" s="75"/>
      <c r="E25" s="75"/>
      <c r="F25" s="75"/>
    </row>
    <row r="26" spans="2:6" x14ac:dyDescent="0.55000000000000004">
      <c r="B26" s="74" t="s">
        <v>8</v>
      </c>
      <c r="C26" s="75"/>
      <c r="D26" s="75"/>
      <c r="E26" s="75"/>
      <c r="F26" s="75"/>
    </row>
    <row r="27" spans="2:6" x14ac:dyDescent="0.55000000000000004">
      <c r="B27" s="74" t="s">
        <v>9</v>
      </c>
      <c r="C27" s="75"/>
      <c r="D27" s="75"/>
      <c r="E27" s="75"/>
      <c r="F27" s="75"/>
    </row>
  </sheetData>
  <mergeCells count="11">
    <mergeCell ref="B10:F12"/>
    <mergeCell ref="B20:F20"/>
    <mergeCell ref="B26:F26"/>
    <mergeCell ref="B16:F16"/>
    <mergeCell ref="B15:F15"/>
    <mergeCell ref="B27:F27"/>
    <mergeCell ref="B19:F19"/>
    <mergeCell ref="B25:F25"/>
    <mergeCell ref="B24:F24"/>
    <mergeCell ref="B17:F17"/>
    <mergeCell ref="B18:F18"/>
  </mergeCells>
  <pageMargins left="0.7" right="0.7" top="0.75" bottom="0.75" header="0.3" footer="0.3"/>
  <ignoredErrors>
    <ignoredError sqref="C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12"/>
  <sheetViews>
    <sheetView showGridLines="0" workbookViewId="0">
      <selection activeCell="B11" sqref="B11:J12"/>
    </sheetView>
  </sheetViews>
  <sheetFormatPr defaultRowHeight="14.4" x14ac:dyDescent="0.55000000000000004"/>
  <cols>
    <col min="1" max="1" width="2.578125" customWidth="1"/>
    <col min="2" max="2" width="19.3125" customWidth="1"/>
    <col min="3" max="3" width="18" customWidth="1"/>
    <col min="4" max="4" width="12" customWidth="1"/>
    <col min="5" max="5" width="18" customWidth="1"/>
    <col min="6" max="6" width="2.578125" customWidth="1"/>
    <col min="7" max="8" width="18" customWidth="1"/>
    <col min="9" max="9" width="18" style="14" customWidth="1"/>
    <col min="10" max="10" width="18" customWidth="1"/>
  </cols>
  <sheetData>
    <row r="2" spans="2:10" ht="18.3" x14ac:dyDescent="0.7">
      <c r="B2" s="85" t="s">
        <v>148</v>
      </c>
      <c r="C2" s="86"/>
      <c r="D2" s="86"/>
      <c r="E2" s="86"/>
      <c r="F2" s="86"/>
      <c r="G2" s="86"/>
      <c r="H2" s="86"/>
      <c r="I2" s="86"/>
      <c r="J2" s="86"/>
    </row>
    <row r="3" spans="2:10" ht="18.600000000000001" thickBot="1" x14ac:dyDescent="0.75">
      <c r="B3" s="2"/>
      <c r="I3"/>
    </row>
    <row r="4" spans="2:10" x14ac:dyDescent="0.55000000000000004">
      <c r="B4" s="15" t="s">
        <v>10</v>
      </c>
      <c r="C4" s="16" t="s">
        <v>11</v>
      </c>
      <c r="D4" s="16" t="s">
        <v>12</v>
      </c>
      <c r="E4" s="17" t="s">
        <v>13</v>
      </c>
      <c r="G4" s="15" t="s">
        <v>14</v>
      </c>
      <c r="H4" s="16" t="s">
        <v>15</v>
      </c>
      <c r="I4" s="16" t="s">
        <v>16</v>
      </c>
      <c r="J4" s="17" t="s">
        <v>17</v>
      </c>
    </row>
    <row r="5" spans="2:10" x14ac:dyDescent="0.55000000000000004">
      <c r="B5" s="20" t="s">
        <v>18</v>
      </c>
      <c r="C5" s="5">
        <v>4298.9399999999996</v>
      </c>
      <c r="D5" s="5">
        <v>716.49</v>
      </c>
      <c r="E5" s="19">
        <v>3582.45</v>
      </c>
      <c r="G5" s="18" t="s">
        <v>19</v>
      </c>
      <c r="H5" s="5">
        <v>1299.46</v>
      </c>
      <c r="I5" s="11" t="s">
        <v>20</v>
      </c>
      <c r="J5" s="19">
        <v>1225.77</v>
      </c>
    </row>
    <row r="6" spans="2:10" x14ac:dyDescent="0.55000000000000004">
      <c r="B6" s="20" t="s">
        <v>21</v>
      </c>
      <c r="C6" s="5">
        <v>9679.36</v>
      </c>
      <c r="D6" s="5">
        <v>1613.23</v>
      </c>
      <c r="E6" s="19">
        <v>8066.130000000001</v>
      </c>
      <c r="G6" s="18" t="s">
        <v>19</v>
      </c>
      <c r="H6" s="5">
        <v>3317.76</v>
      </c>
      <c r="I6" s="11" t="s">
        <v>20</v>
      </c>
      <c r="J6" s="19">
        <v>2026.1</v>
      </c>
    </row>
    <row r="7" spans="2:10" x14ac:dyDescent="0.55000000000000004">
      <c r="B7" s="20" t="s">
        <v>22</v>
      </c>
      <c r="C7" s="5">
        <v>9269.34</v>
      </c>
      <c r="D7" s="5">
        <v>1544.89</v>
      </c>
      <c r="E7" s="19">
        <v>7724.45</v>
      </c>
      <c r="G7" s="18" t="s">
        <v>19</v>
      </c>
      <c r="H7" s="5">
        <v>3487.02</v>
      </c>
      <c r="I7" s="11" t="s">
        <v>23</v>
      </c>
      <c r="J7" s="19">
        <v>1174.71</v>
      </c>
    </row>
    <row r="8" spans="2:10" ht="14.7" thickBot="1" x14ac:dyDescent="0.6">
      <c r="B8" s="25">
        <v>46023</v>
      </c>
      <c r="C8" s="26">
        <v>1827</v>
      </c>
      <c r="D8" s="21">
        <v>157.87</v>
      </c>
      <c r="E8" s="22">
        <f>C8-D8</f>
        <v>1669.13</v>
      </c>
      <c r="G8" s="23" t="s">
        <v>25</v>
      </c>
      <c r="H8" s="21">
        <v>332.57</v>
      </c>
      <c r="I8" s="24" t="s">
        <v>23</v>
      </c>
      <c r="J8" s="22">
        <v>173.71</v>
      </c>
    </row>
    <row r="9" spans="2:10" ht="14.7" thickBot="1" x14ac:dyDescent="0.6">
      <c r="B9" s="29" t="s">
        <v>26</v>
      </c>
      <c r="C9" s="30">
        <f>SUM(C5:C7)</f>
        <v>23247.64</v>
      </c>
      <c r="D9" s="30">
        <f>SUM(D5:D7)</f>
        <v>3874.6100000000006</v>
      </c>
      <c r="E9" s="31">
        <f>SUM(E5:E7)</f>
        <v>19373.030000000002</v>
      </c>
      <c r="G9" s="82" t="s">
        <v>147</v>
      </c>
      <c r="H9" s="83"/>
      <c r="I9" s="83"/>
      <c r="J9" s="84"/>
    </row>
    <row r="10" spans="2:10" ht="14.7" thickBot="1" x14ac:dyDescent="0.6"/>
    <row r="11" spans="2:10" ht="131.4" customHeight="1" x14ac:dyDescent="0.55000000000000004">
      <c r="B11" s="91" t="s">
        <v>174</v>
      </c>
      <c r="C11" s="77"/>
      <c r="D11" s="77"/>
      <c r="E11" s="77"/>
      <c r="F11" s="77"/>
      <c r="G11" s="77"/>
      <c r="H11" s="77"/>
      <c r="I11" s="77"/>
      <c r="J11" s="78"/>
    </row>
    <row r="12" spans="2:10" ht="131.4" customHeight="1" thickBot="1" x14ac:dyDescent="0.6">
      <c r="B12" s="79"/>
      <c r="C12" s="80"/>
      <c r="D12" s="80"/>
      <c r="E12" s="80"/>
      <c r="F12" s="80"/>
      <c r="G12" s="80"/>
      <c r="H12" s="80"/>
      <c r="I12" s="80"/>
      <c r="J12" s="81"/>
    </row>
  </sheetData>
  <mergeCells count="3">
    <mergeCell ref="B11:J12"/>
    <mergeCell ref="G9:J9"/>
    <mergeCell ref="B2:J2"/>
  </mergeCells>
  <pageMargins left="0.7" right="0.7" top="0.75" bottom="0.75" header="0.3" footer="0.3"/>
  <pageSetup paperSize="9" orientation="portrait" r:id="rId1"/>
  <ignoredErrors>
    <ignoredError sqref="D9" formulaRange="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O9"/>
  <sheetViews>
    <sheetView showGridLines="0" zoomScale="85" zoomScaleNormal="85" workbookViewId="0">
      <selection activeCell="B4" sqref="B4:L9"/>
    </sheetView>
  </sheetViews>
  <sheetFormatPr defaultRowHeight="14.4" x14ac:dyDescent="0.55000000000000004"/>
  <cols>
    <col min="1" max="1" width="2.578125" customWidth="1"/>
    <col min="2" max="2" width="12" customWidth="1"/>
    <col min="3" max="12" width="20" customWidth="1"/>
  </cols>
  <sheetData>
    <row r="2" spans="2:15" ht="18.3" x14ac:dyDescent="0.7">
      <c r="B2" s="87" t="s">
        <v>27</v>
      </c>
      <c r="C2" s="88"/>
      <c r="D2" s="88"/>
      <c r="E2" s="88"/>
      <c r="F2" s="88"/>
      <c r="G2" s="88"/>
      <c r="H2" s="88"/>
      <c r="I2" s="88"/>
      <c r="J2" s="88"/>
      <c r="K2" s="88"/>
      <c r="L2" s="88"/>
      <c r="M2" s="88"/>
      <c r="N2" s="88"/>
      <c r="O2" s="88"/>
    </row>
    <row r="3" spans="2:15" ht="18.3" x14ac:dyDescent="0.7">
      <c r="B3" s="27"/>
      <c r="C3" s="13"/>
      <c r="D3" s="13"/>
      <c r="E3" s="13"/>
      <c r="F3" s="13"/>
      <c r="G3" s="13"/>
      <c r="H3" s="13"/>
      <c r="I3" s="13"/>
      <c r="J3" s="13"/>
      <c r="K3" s="13"/>
      <c r="L3" s="13"/>
      <c r="M3" s="13"/>
      <c r="N3" s="13"/>
      <c r="O3" s="13"/>
    </row>
    <row r="4" spans="2:15" ht="43.2" x14ac:dyDescent="0.55000000000000004">
      <c r="B4" s="3" t="s">
        <v>10</v>
      </c>
      <c r="C4" s="3" t="s">
        <v>28</v>
      </c>
      <c r="D4" s="3" t="s">
        <v>29</v>
      </c>
      <c r="E4" s="3" t="s">
        <v>30</v>
      </c>
      <c r="F4" s="3" t="s">
        <v>31</v>
      </c>
      <c r="G4" s="3" t="s">
        <v>32</v>
      </c>
      <c r="H4" s="3" t="s">
        <v>33</v>
      </c>
      <c r="I4" s="3" t="s">
        <v>34</v>
      </c>
      <c r="J4" s="3" t="s">
        <v>35</v>
      </c>
      <c r="K4" s="3" t="s">
        <v>36</v>
      </c>
      <c r="L4" s="3" t="s">
        <v>37</v>
      </c>
    </row>
    <row r="5" spans="2:15" x14ac:dyDescent="0.55000000000000004">
      <c r="B5" s="4" t="s">
        <v>18</v>
      </c>
      <c r="C5" s="5">
        <v>1299.46</v>
      </c>
      <c r="D5" s="5">
        <v>1225.77</v>
      </c>
      <c r="E5" s="5">
        <v>343.51</v>
      </c>
      <c r="F5" s="5">
        <v>125.83</v>
      </c>
      <c r="G5" s="5">
        <v>170.26</v>
      </c>
      <c r="H5" s="5">
        <v>325.68</v>
      </c>
      <c r="I5" s="5">
        <v>56.6</v>
      </c>
      <c r="J5" s="5">
        <v>35.340000000000153</v>
      </c>
      <c r="K5" s="5">
        <v>716.49</v>
      </c>
      <c r="L5" s="5">
        <f>SUM(C5:K5)</f>
        <v>4298.9399999999996</v>
      </c>
    </row>
    <row r="6" spans="2:15" x14ac:dyDescent="0.55000000000000004">
      <c r="B6" s="4" t="s">
        <v>21</v>
      </c>
      <c r="C6" s="5">
        <v>3317.76</v>
      </c>
      <c r="D6" s="5">
        <v>2026.1</v>
      </c>
      <c r="E6" s="5">
        <v>880.75</v>
      </c>
      <c r="F6" s="5">
        <v>456.22</v>
      </c>
      <c r="G6" s="5">
        <v>432</v>
      </c>
      <c r="H6" s="5">
        <v>733.28</v>
      </c>
      <c r="I6" s="5">
        <v>90</v>
      </c>
      <c r="J6" s="5">
        <v>130.02000000000041</v>
      </c>
      <c r="K6" s="5">
        <v>1613.23</v>
      </c>
      <c r="L6" s="5">
        <v>9679.36</v>
      </c>
    </row>
    <row r="7" spans="2:15" x14ac:dyDescent="0.55000000000000004">
      <c r="B7" s="4" t="s">
        <v>22</v>
      </c>
      <c r="C7" s="5">
        <v>3487.02</v>
      </c>
      <c r="D7" s="5">
        <v>758.52</v>
      </c>
      <c r="E7" s="5">
        <v>1172.68</v>
      </c>
      <c r="F7" s="5">
        <v>1174.71</v>
      </c>
      <c r="G7" s="5">
        <v>143.38</v>
      </c>
      <c r="H7" s="5">
        <v>700.86</v>
      </c>
      <c r="I7" s="5">
        <v>37.200000000000003</v>
      </c>
      <c r="J7" s="5">
        <v>250.0799999999999</v>
      </c>
      <c r="K7" s="5">
        <v>1544.89</v>
      </c>
      <c r="L7" s="5">
        <v>9269.34</v>
      </c>
    </row>
    <row r="8" spans="2:15" x14ac:dyDescent="0.55000000000000004">
      <c r="B8" s="4" t="s">
        <v>24</v>
      </c>
      <c r="C8" s="5">
        <v>57</v>
      </c>
      <c r="D8" s="5">
        <v>122</v>
      </c>
      <c r="E8" s="5">
        <v>590</v>
      </c>
      <c r="F8" s="5">
        <v>290</v>
      </c>
      <c r="G8" s="5">
        <v>45</v>
      </c>
      <c r="H8" s="5">
        <v>68.3</v>
      </c>
      <c r="I8" s="5">
        <v>18</v>
      </c>
      <c r="J8" s="5">
        <v>478.83</v>
      </c>
      <c r="K8" s="5">
        <v>157.87</v>
      </c>
      <c r="L8" s="5">
        <f>SUM(C8:K8)</f>
        <v>1827</v>
      </c>
    </row>
    <row r="9" spans="2:15" x14ac:dyDescent="0.55000000000000004">
      <c r="B9" s="6" t="s">
        <v>38</v>
      </c>
      <c r="C9" s="7">
        <f t="shared" ref="C9:K9" si="0">SUM(C5:C8)</f>
        <v>8161.24</v>
      </c>
      <c r="D9" s="7">
        <f t="shared" si="0"/>
        <v>4132.3899999999994</v>
      </c>
      <c r="E9" s="7">
        <f t="shared" si="0"/>
        <v>2986.94</v>
      </c>
      <c r="F9" s="7">
        <f t="shared" si="0"/>
        <v>2046.7600000000002</v>
      </c>
      <c r="G9" s="7">
        <f t="shared" si="0"/>
        <v>790.64</v>
      </c>
      <c r="H9" s="7">
        <f t="shared" si="0"/>
        <v>1828.1200000000001</v>
      </c>
      <c r="I9" s="7">
        <f t="shared" si="0"/>
        <v>201.8</v>
      </c>
      <c r="J9" s="7">
        <f t="shared" si="0"/>
        <v>894.27000000000044</v>
      </c>
      <c r="K9" s="7">
        <f t="shared" si="0"/>
        <v>4032.4800000000005</v>
      </c>
      <c r="L9" s="7">
        <f>SUM(L5:L8)</f>
        <v>25074.639999999999</v>
      </c>
    </row>
  </sheetData>
  <mergeCells count="1">
    <mergeCell ref="B2:O2"/>
  </mergeCells>
  <conditionalFormatting sqref="C5:K8">
    <cfRule type="colorScale" priority="1">
      <colorScale>
        <cfvo type="min"/>
        <cfvo type="percentile" val="50"/>
        <cfvo type="max"/>
        <color rgb="FFFFFFFF"/>
        <color rgb="FFFFF2CC"/>
        <color rgb="FFF8CBAD"/>
      </colorScale>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2:M18"/>
  <sheetViews>
    <sheetView showGridLines="0" tabSelected="1" workbookViewId="0">
      <selection activeCell="I17" sqref="I17"/>
    </sheetView>
  </sheetViews>
  <sheetFormatPr defaultRowHeight="14.4" x14ac:dyDescent="0.55000000000000004"/>
  <cols>
    <col min="1" max="2" width="2.578125" customWidth="1"/>
    <col min="3" max="3" width="22.41796875" customWidth="1"/>
    <col min="4" max="4" width="26.3671875" customWidth="1"/>
    <col min="5" max="5" width="12" customWidth="1"/>
    <col min="6" max="6" width="23.7890625" customWidth="1"/>
    <col min="7" max="7" width="34" customWidth="1"/>
    <col min="8" max="8" width="31.83984375" customWidth="1"/>
    <col min="9" max="9" width="18.578125" customWidth="1"/>
    <col min="10" max="10" width="16.20703125" customWidth="1"/>
    <col min="11" max="11" width="18.3125" customWidth="1"/>
    <col min="12" max="12" width="14" style="14" customWidth="1"/>
    <col min="13" max="13" width="20" style="14" customWidth="1"/>
  </cols>
  <sheetData>
    <row r="2" spans="3:13" ht="18.3" x14ac:dyDescent="0.7">
      <c r="C2" s="85" t="s">
        <v>39</v>
      </c>
      <c r="D2" s="92"/>
      <c r="E2" s="92"/>
      <c r="F2" s="92"/>
      <c r="G2" s="92"/>
      <c r="H2" s="92"/>
      <c r="I2" s="92"/>
      <c r="J2" s="92"/>
      <c r="K2" s="92"/>
      <c r="L2" s="92"/>
      <c r="M2" s="92"/>
    </row>
    <row r="3" spans="3:13" ht="14.7" thickBot="1" x14ac:dyDescent="0.6"/>
    <row r="4" spans="3:13" ht="28.8" x14ac:dyDescent="0.55000000000000004">
      <c r="C4" s="93" t="s">
        <v>40</v>
      </c>
      <c r="D4" s="93" t="s">
        <v>41</v>
      </c>
      <c r="E4" s="96" t="s">
        <v>42</v>
      </c>
      <c r="F4" s="93" t="s">
        <v>175</v>
      </c>
      <c r="G4" s="93" t="s">
        <v>176</v>
      </c>
      <c r="H4" s="93" t="s">
        <v>177</v>
      </c>
      <c r="I4" s="93" t="s">
        <v>178</v>
      </c>
      <c r="J4" s="96" t="s">
        <v>179</v>
      </c>
      <c r="K4" s="93" t="s">
        <v>180</v>
      </c>
      <c r="L4" s="93" t="s">
        <v>181</v>
      </c>
      <c r="M4" s="93" t="s">
        <v>215</v>
      </c>
    </row>
    <row r="5" spans="3:13" x14ac:dyDescent="0.55000000000000004">
      <c r="C5" s="94" t="s">
        <v>19</v>
      </c>
      <c r="D5" s="94" t="s">
        <v>43</v>
      </c>
      <c r="E5" s="94" t="s">
        <v>44</v>
      </c>
      <c r="F5" s="98" t="s">
        <v>45</v>
      </c>
      <c r="G5" s="98" t="s">
        <v>46</v>
      </c>
      <c r="H5" s="98" t="s">
        <v>47</v>
      </c>
      <c r="I5" s="100">
        <v>3487.02</v>
      </c>
      <c r="J5" s="100">
        <v>32.11</v>
      </c>
      <c r="K5" s="100">
        <v>13</v>
      </c>
      <c r="L5" s="102">
        <v>46023</v>
      </c>
      <c r="M5" s="105">
        <f>(I5-J5)/I5</f>
        <v>0.99079156414359537</v>
      </c>
    </row>
    <row r="6" spans="3:13" x14ac:dyDescent="0.55000000000000004">
      <c r="C6" s="94" t="s">
        <v>20</v>
      </c>
      <c r="D6" s="94" t="s">
        <v>182</v>
      </c>
      <c r="E6" s="94" t="s">
        <v>44</v>
      </c>
      <c r="F6" s="98" t="s">
        <v>50</v>
      </c>
      <c r="G6" s="98" t="s">
        <v>183</v>
      </c>
      <c r="H6" s="98" t="s">
        <v>51</v>
      </c>
      <c r="I6" s="100">
        <v>2026.1</v>
      </c>
      <c r="J6" s="100">
        <v>68.84</v>
      </c>
      <c r="K6" s="100">
        <v>143</v>
      </c>
      <c r="L6" s="102">
        <v>46029</v>
      </c>
      <c r="M6" s="105">
        <f t="shared" ref="M6:M17" si="0">(I6-J6)/I6</f>
        <v>0.96602339469917575</v>
      </c>
    </row>
    <row r="7" spans="3:13" x14ac:dyDescent="0.55000000000000004">
      <c r="C7" s="94" t="s">
        <v>25</v>
      </c>
      <c r="D7" s="94" t="s">
        <v>184</v>
      </c>
      <c r="E7" s="94" t="s">
        <v>44</v>
      </c>
      <c r="F7" s="98" t="s">
        <v>53</v>
      </c>
      <c r="G7" s="98" t="s">
        <v>185</v>
      </c>
      <c r="H7" s="98" t="s">
        <v>186</v>
      </c>
      <c r="I7" s="100">
        <v>1172.68</v>
      </c>
      <c r="J7" s="100">
        <v>332.57</v>
      </c>
      <c r="K7" s="100">
        <v>516</v>
      </c>
      <c r="L7" s="102">
        <v>46029</v>
      </c>
      <c r="M7" s="105">
        <f t="shared" si="0"/>
        <v>0.71640174642698784</v>
      </c>
    </row>
    <row r="8" spans="3:13" ht="28.8" x14ac:dyDescent="0.55000000000000004">
      <c r="C8" s="94" t="s">
        <v>23</v>
      </c>
      <c r="D8" s="94" t="s">
        <v>187</v>
      </c>
      <c r="E8" s="94" t="s">
        <v>44</v>
      </c>
      <c r="F8" s="98" t="s">
        <v>54</v>
      </c>
      <c r="G8" s="98" t="s">
        <v>188</v>
      </c>
      <c r="H8" s="98" t="s">
        <v>189</v>
      </c>
      <c r="I8" s="100">
        <v>1174.71</v>
      </c>
      <c r="J8" s="100">
        <v>173.71</v>
      </c>
      <c r="K8" s="100">
        <v>320</v>
      </c>
      <c r="L8" s="102">
        <v>46029</v>
      </c>
      <c r="M8" s="105">
        <f t="shared" si="0"/>
        <v>0.85212520536983594</v>
      </c>
    </row>
    <row r="9" spans="3:13" x14ac:dyDescent="0.55000000000000004">
      <c r="C9" s="94" t="s">
        <v>55</v>
      </c>
      <c r="D9" s="94" t="s">
        <v>56</v>
      </c>
      <c r="E9" s="94" t="s">
        <v>44</v>
      </c>
      <c r="F9" s="98" t="s">
        <v>57</v>
      </c>
      <c r="G9" s="98" t="s">
        <v>190</v>
      </c>
      <c r="H9" s="98" t="s">
        <v>191</v>
      </c>
      <c r="I9" s="100">
        <v>432</v>
      </c>
      <c r="J9" s="100">
        <v>25.3</v>
      </c>
      <c r="K9" s="100">
        <v>72</v>
      </c>
      <c r="L9" s="102">
        <v>46029</v>
      </c>
      <c r="M9" s="105">
        <f t="shared" si="0"/>
        <v>0.94143518518518521</v>
      </c>
    </row>
    <row r="10" spans="3:13" x14ac:dyDescent="0.55000000000000004">
      <c r="C10" s="94" t="s">
        <v>58</v>
      </c>
      <c r="D10" s="94" t="s">
        <v>173</v>
      </c>
      <c r="E10" s="94" t="s">
        <v>59</v>
      </c>
      <c r="F10" s="98" t="s">
        <v>60</v>
      </c>
      <c r="G10" s="98" t="s">
        <v>61</v>
      </c>
      <c r="H10" s="98" t="s">
        <v>62</v>
      </c>
      <c r="I10" s="100">
        <v>733.28</v>
      </c>
      <c r="J10" s="100">
        <v>68.3</v>
      </c>
      <c r="K10" s="100">
        <v>0</v>
      </c>
      <c r="L10" s="102">
        <v>46023</v>
      </c>
      <c r="M10" s="105">
        <f t="shared" si="0"/>
        <v>0.90685686231725948</v>
      </c>
    </row>
    <row r="11" spans="3:13" ht="28.8" x14ac:dyDescent="0.55000000000000004">
      <c r="C11" s="94" t="s">
        <v>63</v>
      </c>
      <c r="D11" s="94" t="s">
        <v>192</v>
      </c>
      <c r="E11" s="94" t="s">
        <v>44</v>
      </c>
      <c r="F11" s="98" t="s">
        <v>64</v>
      </c>
      <c r="G11" s="98" t="s">
        <v>65</v>
      </c>
      <c r="H11" s="98" t="s">
        <v>193</v>
      </c>
      <c r="I11" s="100">
        <v>90</v>
      </c>
      <c r="J11" s="100">
        <v>10.31</v>
      </c>
      <c r="K11" s="100">
        <v>38</v>
      </c>
      <c r="L11" s="102">
        <v>46029</v>
      </c>
      <c r="M11" s="105">
        <f t="shared" si="0"/>
        <v>0.88544444444444437</v>
      </c>
    </row>
    <row r="12" spans="3:13" ht="28.8" x14ac:dyDescent="0.55000000000000004">
      <c r="C12" s="94" t="s">
        <v>194</v>
      </c>
      <c r="D12" s="94" t="s">
        <v>195</v>
      </c>
      <c r="E12" s="94" t="s">
        <v>44</v>
      </c>
      <c r="F12" s="98" t="s">
        <v>196</v>
      </c>
      <c r="G12" s="98" t="s">
        <v>197</v>
      </c>
      <c r="H12" s="99" t="s">
        <v>198</v>
      </c>
      <c r="I12" s="100">
        <v>98.67</v>
      </c>
      <c r="J12" s="100">
        <v>34.909999999999997</v>
      </c>
      <c r="K12" s="100">
        <v>100</v>
      </c>
      <c r="L12" s="102">
        <v>46029</v>
      </c>
      <c r="M12" s="105">
        <f t="shared" si="0"/>
        <v>0.6461943853248201</v>
      </c>
    </row>
    <row r="13" spans="3:13" x14ac:dyDescent="0.55000000000000004">
      <c r="C13" s="94" t="s">
        <v>199</v>
      </c>
      <c r="D13" s="94" t="s">
        <v>200</v>
      </c>
      <c r="E13" s="94" t="s">
        <v>44</v>
      </c>
      <c r="F13" s="98" t="s">
        <v>201</v>
      </c>
      <c r="G13" s="98" t="s">
        <v>202</v>
      </c>
      <c r="H13" s="99" t="s">
        <v>203</v>
      </c>
      <c r="I13" s="100">
        <v>65.88</v>
      </c>
      <c r="J13" s="100">
        <v>21.89</v>
      </c>
      <c r="K13" s="100">
        <v>62</v>
      </c>
      <c r="L13" s="102">
        <v>46029</v>
      </c>
      <c r="M13" s="105">
        <f t="shared" si="0"/>
        <v>0.66772920461445051</v>
      </c>
    </row>
    <row r="14" spans="3:13" x14ac:dyDescent="0.55000000000000004">
      <c r="C14" s="94" t="s">
        <v>204</v>
      </c>
      <c r="D14" s="94" t="s">
        <v>205</v>
      </c>
      <c r="E14" s="94" t="s">
        <v>44</v>
      </c>
      <c r="F14" s="98" t="s">
        <v>206</v>
      </c>
      <c r="G14" s="98" t="s">
        <v>207</v>
      </c>
      <c r="H14" s="99" t="s">
        <v>208</v>
      </c>
      <c r="I14" s="100">
        <v>43.6</v>
      </c>
      <c r="J14" s="100">
        <v>14.63</v>
      </c>
      <c r="K14" s="100">
        <v>40</v>
      </c>
      <c r="L14" s="102">
        <v>46029</v>
      </c>
      <c r="M14" s="105">
        <f t="shared" si="0"/>
        <v>0.66444954128440359</v>
      </c>
    </row>
    <row r="15" spans="3:13" x14ac:dyDescent="0.55000000000000004">
      <c r="C15" s="94" t="s">
        <v>209</v>
      </c>
      <c r="D15" s="94" t="s">
        <v>200</v>
      </c>
      <c r="E15" s="94" t="s">
        <v>44</v>
      </c>
      <c r="F15" s="98" t="s">
        <v>210</v>
      </c>
      <c r="G15" s="98" t="s">
        <v>211</v>
      </c>
      <c r="H15" s="99" t="s">
        <v>212</v>
      </c>
      <c r="I15" s="100">
        <v>8.27</v>
      </c>
      <c r="J15" s="100">
        <v>3.58</v>
      </c>
      <c r="K15" s="100">
        <v>10</v>
      </c>
      <c r="L15" s="102" t="s">
        <v>173</v>
      </c>
      <c r="M15" s="105">
        <f t="shared" si="0"/>
        <v>0.56711003627569523</v>
      </c>
    </row>
    <row r="16" spans="3:13" ht="28.8" x14ac:dyDescent="0.55000000000000004">
      <c r="C16" s="94" t="s">
        <v>213</v>
      </c>
      <c r="D16" s="94" t="s">
        <v>200</v>
      </c>
      <c r="E16" s="94" t="s">
        <v>44</v>
      </c>
      <c r="F16" s="98" t="s">
        <v>214</v>
      </c>
      <c r="G16" s="98" t="s">
        <v>173</v>
      </c>
      <c r="H16" s="98" t="s">
        <v>173</v>
      </c>
      <c r="I16" s="100">
        <v>28.67</v>
      </c>
      <c r="J16" s="100">
        <v>3.17</v>
      </c>
      <c r="K16" s="100">
        <v>10</v>
      </c>
      <c r="L16" s="103" t="s">
        <v>173</v>
      </c>
      <c r="M16" s="105">
        <f t="shared" si="0"/>
        <v>0.88943146145796992</v>
      </c>
    </row>
    <row r="17" spans="3:13" ht="14.7" thickBot="1" x14ac:dyDescent="0.6">
      <c r="C17" s="95" t="s">
        <v>12</v>
      </c>
      <c r="D17" s="95" t="s">
        <v>173</v>
      </c>
      <c r="E17" s="97" t="s">
        <v>173</v>
      </c>
      <c r="F17" s="97" t="s">
        <v>173</v>
      </c>
      <c r="G17" s="97" t="s">
        <v>173</v>
      </c>
      <c r="H17" s="97" t="s">
        <v>173</v>
      </c>
      <c r="I17" s="101">
        <v>1613.23</v>
      </c>
      <c r="J17" s="101">
        <v>157.87</v>
      </c>
      <c r="K17" s="101">
        <v>225</v>
      </c>
      <c r="L17" s="104" t="s">
        <v>173</v>
      </c>
      <c r="M17" s="106">
        <f t="shared" si="0"/>
        <v>0.90214042634962166</v>
      </c>
    </row>
    <row r="18" spans="3:13" x14ac:dyDescent="0.55000000000000004">
      <c r="I18" s="107">
        <f>SUM(I5:I17)</f>
        <v>10974.11</v>
      </c>
      <c r="L18"/>
    </row>
  </sheetData>
  <mergeCells count="1">
    <mergeCell ref="C2:M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I13"/>
  <sheetViews>
    <sheetView showGridLines="0" workbookViewId="0">
      <selection activeCell="D13" sqref="D13"/>
    </sheetView>
  </sheetViews>
  <sheetFormatPr defaultRowHeight="14.4" x14ac:dyDescent="0.55000000000000004"/>
  <cols>
    <col min="1" max="1" width="2.578125" customWidth="1"/>
    <col min="2" max="2" width="16" customWidth="1"/>
    <col min="3" max="3" width="18" customWidth="1"/>
    <col min="4" max="4" width="30" customWidth="1"/>
    <col min="5" max="5" width="12" customWidth="1"/>
    <col min="6" max="6" width="14" customWidth="1"/>
    <col min="7" max="7" width="18" customWidth="1"/>
    <col min="8" max="8" width="14" customWidth="1"/>
    <col min="9" max="9" width="34" customWidth="1"/>
  </cols>
  <sheetData>
    <row r="2" spans="2:9" ht="18.3" x14ac:dyDescent="0.7">
      <c r="B2" s="90" t="s">
        <v>66</v>
      </c>
      <c r="C2" s="75"/>
      <c r="D2" s="75"/>
      <c r="E2" s="75"/>
      <c r="F2" s="75"/>
      <c r="G2" s="75"/>
      <c r="H2" s="75"/>
      <c r="I2" s="75"/>
    </row>
    <row r="4" spans="2:9" x14ac:dyDescent="0.55000000000000004">
      <c r="B4" s="89" t="s">
        <v>67</v>
      </c>
      <c r="C4" s="75"/>
      <c r="D4" s="75"/>
      <c r="E4" s="75"/>
      <c r="F4" s="75"/>
      <c r="G4" s="75"/>
      <c r="H4" s="75"/>
      <c r="I4" s="75"/>
    </row>
    <row r="5" spans="2:9" ht="14.7" thickBot="1" x14ac:dyDescent="0.6">
      <c r="B5" s="75"/>
      <c r="C5" s="75"/>
      <c r="D5" s="75"/>
      <c r="E5" s="75"/>
      <c r="F5" s="75"/>
      <c r="G5" s="75"/>
      <c r="H5" s="75"/>
      <c r="I5" s="75"/>
    </row>
    <row r="6" spans="2:9" x14ac:dyDescent="0.55000000000000004">
      <c r="B6" s="65" t="s">
        <v>40</v>
      </c>
      <c r="C6" s="16" t="s">
        <v>172</v>
      </c>
      <c r="D6" s="16"/>
      <c r="E6" s="66" t="s">
        <v>42</v>
      </c>
      <c r="F6" s="66" t="s">
        <v>149</v>
      </c>
      <c r="G6" s="16"/>
      <c r="H6" s="16"/>
      <c r="I6" s="17"/>
    </row>
    <row r="7" spans="2:9" x14ac:dyDescent="0.55000000000000004">
      <c r="B7" s="20" t="s">
        <v>19</v>
      </c>
      <c r="C7" s="4" t="s">
        <v>68</v>
      </c>
      <c r="D7" s="8" t="s">
        <v>43</v>
      </c>
      <c r="E7" s="4" t="s">
        <v>44</v>
      </c>
      <c r="F7" s="11" t="s">
        <v>69</v>
      </c>
      <c r="G7" s="11" t="s">
        <v>70</v>
      </c>
      <c r="H7" s="9" t="s">
        <v>48</v>
      </c>
      <c r="I7" s="67" t="s">
        <v>71</v>
      </c>
    </row>
    <row r="8" spans="2:9" ht="28.8" x14ac:dyDescent="0.55000000000000004">
      <c r="B8" s="20" t="s">
        <v>20</v>
      </c>
      <c r="C8" s="4" t="s">
        <v>72</v>
      </c>
      <c r="D8" s="10" t="s">
        <v>49</v>
      </c>
      <c r="E8" s="4" t="s">
        <v>44</v>
      </c>
      <c r="F8" s="11" t="s">
        <v>69</v>
      </c>
      <c r="G8" s="11" t="s">
        <v>70</v>
      </c>
      <c r="H8" s="9" t="s">
        <v>48</v>
      </c>
      <c r="I8" s="67" t="s">
        <v>73</v>
      </c>
    </row>
    <row r="9" spans="2:9" x14ac:dyDescent="0.55000000000000004">
      <c r="B9" s="20" t="s">
        <v>25</v>
      </c>
      <c r="C9" s="4" t="s">
        <v>74</v>
      </c>
      <c r="D9" s="10" t="s">
        <v>52</v>
      </c>
      <c r="E9" s="4" t="s">
        <v>44</v>
      </c>
      <c r="F9" s="11" t="s">
        <v>69</v>
      </c>
      <c r="G9" s="11" t="s">
        <v>70</v>
      </c>
      <c r="H9" s="9" t="s">
        <v>48</v>
      </c>
      <c r="I9" s="67" t="s">
        <v>75</v>
      </c>
    </row>
    <row r="10" spans="2:9" x14ac:dyDescent="0.55000000000000004">
      <c r="B10" s="20" t="s">
        <v>76</v>
      </c>
      <c r="C10" s="4" t="s">
        <v>77</v>
      </c>
      <c r="D10" s="8" t="s">
        <v>56</v>
      </c>
      <c r="E10" s="4" t="s">
        <v>44</v>
      </c>
      <c r="F10" s="11" t="s">
        <v>78</v>
      </c>
      <c r="G10" s="11" t="s">
        <v>70</v>
      </c>
      <c r="H10" s="9" t="s">
        <v>48</v>
      </c>
      <c r="I10" s="67" t="s">
        <v>79</v>
      </c>
    </row>
    <row r="11" spans="2:9" x14ac:dyDescent="0.55000000000000004">
      <c r="B11" s="20" t="s">
        <v>80</v>
      </c>
      <c r="C11" s="4" t="s">
        <v>81</v>
      </c>
      <c r="D11" s="8" t="s">
        <v>82</v>
      </c>
      <c r="E11" s="4" t="s">
        <v>44</v>
      </c>
      <c r="F11" s="11" t="s">
        <v>83</v>
      </c>
      <c r="G11" s="11" t="s">
        <v>84</v>
      </c>
      <c r="H11" s="9" t="s">
        <v>48</v>
      </c>
      <c r="I11" s="67" t="s">
        <v>85</v>
      </c>
    </row>
    <row r="12" spans="2:9" x14ac:dyDescent="0.55000000000000004">
      <c r="B12" s="20" t="s">
        <v>80</v>
      </c>
      <c r="C12" s="4" t="s">
        <v>81</v>
      </c>
      <c r="D12" s="8" t="s">
        <v>86</v>
      </c>
      <c r="E12" s="4" t="s">
        <v>44</v>
      </c>
      <c r="F12" s="11" t="s">
        <v>83</v>
      </c>
      <c r="G12" s="11" t="s">
        <v>84</v>
      </c>
      <c r="H12" s="9" t="s">
        <v>48</v>
      </c>
      <c r="I12" s="67" t="s">
        <v>85</v>
      </c>
    </row>
    <row r="13" spans="2:9" ht="14.7" thickBot="1" x14ac:dyDescent="0.6">
      <c r="B13" s="68" t="s">
        <v>80</v>
      </c>
      <c r="C13" s="69" t="s">
        <v>81</v>
      </c>
      <c r="D13" s="70" t="s">
        <v>87</v>
      </c>
      <c r="E13" s="69" t="s">
        <v>44</v>
      </c>
      <c r="F13" s="71" t="s">
        <v>88</v>
      </c>
      <c r="G13" s="71" t="s">
        <v>70</v>
      </c>
      <c r="H13" s="72" t="s">
        <v>48</v>
      </c>
      <c r="I13" s="73" t="s">
        <v>89</v>
      </c>
    </row>
  </sheetData>
  <mergeCells count="2">
    <mergeCell ref="B4:I5"/>
    <mergeCell ref="B2:I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I16"/>
  <sheetViews>
    <sheetView showGridLines="0" workbookViewId="0">
      <selection activeCell="C14" sqref="C14"/>
    </sheetView>
  </sheetViews>
  <sheetFormatPr defaultRowHeight="14.4" x14ac:dyDescent="0.55000000000000004"/>
  <cols>
    <col min="1" max="1" width="2.578125" customWidth="1"/>
    <col min="2" max="2" width="32" customWidth="1"/>
    <col min="3" max="3" width="34" customWidth="1"/>
    <col min="4" max="4" width="16" customWidth="1"/>
    <col min="5" max="5" width="10" customWidth="1"/>
    <col min="6" max="6" width="40" customWidth="1"/>
  </cols>
  <sheetData>
    <row r="2" spans="2:9" ht="18.3" x14ac:dyDescent="0.7">
      <c r="B2" s="90" t="s">
        <v>90</v>
      </c>
      <c r="C2" s="75"/>
      <c r="D2" s="75"/>
      <c r="E2" s="75"/>
      <c r="F2" s="75"/>
      <c r="G2" s="75"/>
      <c r="H2" s="75"/>
      <c r="I2" s="75"/>
    </row>
    <row r="4" spans="2:9" x14ac:dyDescent="0.55000000000000004">
      <c r="B4" s="89" t="s">
        <v>91</v>
      </c>
      <c r="C4" s="75"/>
      <c r="D4" s="75"/>
      <c r="E4" s="75"/>
      <c r="F4" s="75"/>
      <c r="G4" s="75"/>
      <c r="H4" s="75"/>
      <c r="I4" s="75"/>
    </row>
    <row r="5" spans="2:9" x14ac:dyDescent="0.55000000000000004">
      <c r="B5" s="75"/>
      <c r="C5" s="75"/>
      <c r="D5" s="75"/>
      <c r="E5" s="75"/>
      <c r="F5" s="75"/>
      <c r="G5" s="75"/>
      <c r="H5" s="75"/>
      <c r="I5" s="75"/>
    </row>
    <row r="6" spans="2:9" x14ac:dyDescent="0.55000000000000004">
      <c r="B6" s="3"/>
      <c r="C6" s="3"/>
      <c r="D6" s="3"/>
      <c r="E6" s="3"/>
      <c r="F6" s="3"/>
    </row>
    <row r="7" spans="2:9" ht="28.8" x14ac:dyDescent="0.55000000000000004">
      <c r="B7" s="8" t="s">
        <v>92</v>
      </c>
      <c r="C7" s="8" t="s">
        <v>93</v>
      </c>
      <c r="D7" s="11" t="s">
        <v>94</v>
      </c>
      <c r="E7" s="11" t="s">
        <v>95</v>
      </c>
      <c r="F7" s="8" t="s">
        <v>96</v>
      </c>
    </row>
    <row r="8" spans="2:9" ht="28.8" x14ac:dyDescent="0.55000000000000004">
      <c r="B8" s="8" t="s">
        <v>92</v>
      </c>
      <c r="C8" s="8" t="s">
        <v>97</v>
      </c>
      <c r="D8" s="11" t="s">
        <v>94</v>
      </c>
      <c r="E8" s="11" t="s">
        <v>95</v>
      </c>
      <c r="F8" s="8" t="s">
        <v>98</v>
      </c>
    </row>
    <row r="9" spans="2:9" ht="28.8" x14ac:dyDescent="0.55000000000000004">
      <c r="B9" s="8" t="s">
        <v>92</v>
      </c>
      <c r="C9" s="8" t="s">
        <v>99</v>
      </c>
      <c r="D9" s="11" t="s">
        <v>94</v>
      </c>
      <c r="E9" s="11" t="s">
        <v>95</v>
      </c>
      <c r="F9" s="8" t="s">
        <v>98</v>
      </c>
    </row>
    <row r="10" spans="2:9" ht="28.8" x14ac:dyDescent="0.55000000000000004">
      <c r="B10" s="8" t="s">
        <v>92</v>
      </c>
      <c r="C10" s="8" t="s">
        <v>100</v>
      </c>
      <c r="D10" s="11" t="s">
        <v>94</v>
      </c>
      <c r="E10" s="11" t="s">
        <v>95</v>
      </c>
      <c r="F10" s="8" t="s">
        <v>98</v>
      </c>
    </row>
    <row r="11" spans="2:9" ht="28.8" x14ac:dyDescent="0.55000000000000004">
      <c r="B11" s="8" t="s">
        <v>101</v>
      </c>
      <c r="C11" s="8" t="s">
        <v>102</v>
      </c>
      <c r="D11" s="11" t="s">
        <v>103</v>
      </c>
      <c r="E11" s="11" t="s">
        <v>95</v>
      </c>
      <c r="F11" s="8" t="s">
        <v>104</v>
      </c>
    </row>
    <row r="12" spans="2:9" ht="28.8" x14ac:dyDescent="0.55000000000000004">
      <c r="B12" s="8" t="s">
        <v>105</v>
      </c>
      <c r="C12" s="8" t="s">
        <v>106</v>
      </c>
      <c r="D12" s="11" t="s">
        <v>107</v>
      </c>
      <c r="E12" s="11" t="s">
        <v>95</v>
      </c>
      <c r="F12" s="8" t="s">
        <v>108</v>
      </c>
    </row>
    <row r="13" spans="2:9" ht="28.8" x14ac:dyDescent="0.55000000000000004">
      <c r="B13" s="8" t="s">
        <v>109</v>
      </c>
      <c r="C13" s="8" t="s">
        <v>110</v>
      </c>
      <c r="D13" s="11" t="s">
        <v>111</v>
      </c>
      <c r="E13" s="11" t="s">
        <v>95</v>
      </c>
      <c r="F13" s="8" t="s">
        <v>112</v>
      </c>
    </row>
    <row r="14" spans="2:9" ht="28.8" x14ac:dyDescent="0.55000000000000004">
      <c r="B14" s="8" t="s">
        <v>113</v>
      </c>
      <c r="C14" s="10" t="s">
        <v>114</v>
      </c>
      <c r="D14" s="11" t="s">
        <v>115</v>
      </c>
      <c r="E14" s="11" t="s">
        <v>95</v>
      </c>
      <c r="F14" s="8" t="s">
        <v>116</v>
      </c>
    </row>
    <row r="15" spans="2:9" ht="28.8" x14ac:dyDescent="0.55000000000000004">
      <c r="B15" s="8" t="s">
        <v>117</v>
      </c>
      <c r="C15" s="10" t="s">
        <v>114</v>
      </c>
      <c r="D15" s="11" t="s">
        <v>115</v>
      </c>
      <c r="E15" s="11" t="s">
        <v>95</v>
      </c>
      <c r="F15" s="8" t="s">
        <v>118</v>
      </c>
    </row>
    <row r="16" spans="2:9" ht="28.8" x14ac:dyDescent="0.55000000000000004">
      <c r="B16" s="8" t="s">
        <v>119</v>
      </c>
      <c r="C16" s="8" t="s">
        <v>120</v>
      </c>
      <c r="D16" s="11" t="s">
        <v>121</v>
      </c>
      <c r="E16" s="11" t="s">
        <v>95</v>
      </c>
      <c r="F16" s="8" t="s">
        <v>122</v>
      </c>
    </row>
  </sheetData>
  <mergeCells count="2">
    <mergeCell ref="B4:I5"/>
    <mergeCell ref="B2:I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X10"/>
  <sheetViews>
    <sheetView showGridLines="0" workbookViewId="0">
      <selection activeCell="C5" sqref="C5"/>
    </sheetView>
  </sheetViews>
  <sheetFormatPr defaultRowHeight="14.4" x14ac:dyDescent="0.55000000000000004"/>
  <cols>
    <col min="1" max="1" width="2.578125" customWidth="1"/>
    <col min="2" max="2" width="13" customWidth="1"/>
    <col min="3" max="3" width="16" customWidth="1"/>
    <col min="4" max="4" width="18" customWidth="1"/>
    <col min="5" max="5" width="13.15625" customWidth="1"/>
    <col min="6" max="6" width="14.15625" customWidth="1"/>
    <col min="7" max="7" width="13.1015625" customWidth="1"/>
    <col min="8" max="8" width="13.68359375" customWidth="1"/>
    <col min="9" max="9" width="18" customWidth="1"/>
    <col min="10" max="10" width="12.83984375" customWidth="1"/>
    <col min="11" max="11" width="14.734375" customWidth="1"/>
    <col min="12" max="12" width="10.20703125" customWidth="1"/>
    <col min="13" max="13" width="10.7890625" customWidth="1"/>
    <col min="14" max="14" width="10.89453125" customWidth="1"/>
    <col min="15" max="15" width="10.5234375" customWidth="1"/>
    <col min="16" max="16" width="16.1015625" customWidth="1"/>
    <col min="17" max="17" width="11.9453125" customWidth="1"/>
    <col min="18" max="18" width="13.41796875" customWidth="1"/>
    <col min="19" max="19" width="13.1015625" customWidth="1"/>
    <col min="20" max="20" width="12.89453125" customWidth="1"/>
    <col min="21" max="21" width="12.47265625" customWidth="1"/>
    <col min="22" max="22" width="10" customWidth="1"/>
    <col min="24" max="24" width="10.15625" customWidth="1"/>
  </cols>
  <sheetData>
    <row r="2" spans="2:24" ht="18.3" x14ac:dyDescent="0.7">
      <c r="B2" s="87" t="s">
        <v>164</v>
      </c>
      <c r="C2" s="75"/>
      <c r="D2" s="75"/>
      <c r="E2" s="75"/>
      <c r="F2" s="75"/>
      <c r="G2" s="75"/>
      <c r="H2" s="75"/>
      <c r="I2" s="75"/>
      <c r="J2" s="75"/>
      <c r="K2" s="75"/>
      <c r="L2" s="75"/>
    </row>
    <row r="3" spans="2:24" x14ac:dyDescent="0.55000000000000004">
      <c r="B3" s="60" t="s">
        <v>165</v>
      </c>
    </row>
    <row r="4" spans="2:24" ht="14.7" thickBot="1" x14ac:dyDescent="0.6"/>
    <row r="5" spans="2:24" ht="43.2" x14ac:dyDescent="0.55000000000000004">
      <c r="B5" s="59" t="s">
        <v>10</v>
      </c>
      <c r="C5" s="52" t="s">
        <v>28</v>
      </c>
      <c r="D5" s="16" t="s">
        <v>29</v>
      </c>
      <c r="E5" s="16" t="s">
        <v>36</v>
      </c>
      <c r="F5" s="16" t="s">
        <v>30</v>
      </c>
      <c r="G5" s="16" t="s">
        <v>31</v>
      </c>
      <c r="H5" s="16" t="s">
        <v>33</v>
      </c>
      <c r="I5" s="16" t="s">
        <v>32</v>
      </c>
      <c r="J5" s="16" t="s">
        <v>34</v>
      </c>
      <c r="K5" s="16" t="s">
        <v>123</v>
      </c>
      <c r="L5" s="16" t="s">
        <v>124</v>
      </c>
      <c r="M5" s="16" t="s">
        <v>125</v>
      </c>
      <c r="N5" s="16" t="s">
        <v>126</v>
      </c>
      <c r="O5" s="16" t="s">
        <v>127</v>
      </c>
      <c r="P5" s="16" t="s">
        <v>128</v>
      </c>
      <c r="Q5" s="16" t="s">
        <v>129</v>
      </c>
      <c r="R5" s="16" t="s">
        <v>130</v>
      </c>
      <c r="S5" s="16" t="s">
        <v>131</v>
      </c>
      <c r="T5" s="16" t="s">
        <v>132</v>
      </c>
      <c r="U5" s="16" t="s">
        <v>133</v>
      </c>
      <c r="V5" s="16" t="s">
        <v>134</v>
      </c>
      <c r="W5" s="16" t="s">
        <v>135</v>
      </c>
      <c r="X5" s="17" t="s">
        <v>37</v>
      </c>
    </row>
    <row r="6" spans="2:24" x14ac:dyDescent="0.55000000000000004">
      <c r="B6" s="53" t="s">
        <v>18</v>
      </c>
      <c r="C6" s="55">
        <v>1299.46</v>
      </c>
      <c r="D6" s="56">
        <v>1225.77</v>
      </c>
      <c r="E6" s="56">
        <v>716.49</v>
      </c>
      <c r="F6" s="56">
        <v>343.51</v>
      </c>
      <c r="G6" s="56">
        <v>125.83</v>
      </c>
      <c r="H6" s="56">
        <v>325.68</v>
      </c>
      <c r="I6" s="56">
        <v>170.26</v>
      </c>
      <c r="J6" s="56">
        <v>56.6</v>
      </c>
      <c r="K6" s="56">
        <v>8.23</v>
      </c>
      <c r="L6" s="56">
        <v>19.86</v>
      </c>
      <c r="M6" s="56">
        <v>7.06</v>
      </c>
      <c r="N6" s="11"/>
      <c r="O6" s="11"/>
      <c r="P6" s="56">
        <v>0.02</v>
      </c>
      <c r="Q6" s="11"/>
      <c r="R6" s="56">
        <v>0.15</v>
      </c>
      <c r="S6" s="11"/>
      <c r="T6" s="56">
        <v>0.02</v>
      </c>
      <c r="U6" s="11"/>
      <c r="V6" s="11"/>
      <c r="W6" s="11"/>
      <c r="X6" s="50">
        <v>4298.9399999999996</v>
      </c>
    </row>
    <row r="7" spans="2:24" x14ac:dyDescent="0.55000000000000004">
      <c r="B7" s="53" t="s">
        <v>21</v>
      </c>
      <c r="C7" s="55">
        <v>3317.76</v>
      </c>
      <c r="D7" s="56">
        <v>2026.1</v>
      </c>
      <c r="E7" s="56">
        <v>1613.23</v>
      </c>
      <c r="F7" s="56">
        <v>880.75</v>
      </c>
      <c r="G7" s="56">
        <v>456.22</v>
      </c>
      <c r="H7" s="56">
        <v>733.28</v>
      </c>
      <c r="I7" s="56">
        <v>432</v>
      </c>
      <c r="J7" s="56">
        <v>90</v>
      </c>
      <c r="K7" s="56">
        <v>35.68</v>
      </c>
      <c r="L7" s="56">
        <v>51.96</v>
      </c>
      <c r="M7" s="56">
        <v>23.23</v>
      </c>
      <c r="N7" s="56">
        <v>18.09</v>
      </c>
      <c r="O7" s="11"/>
      <c r="P7" s="56">
        <v>0.1</v>
      </c>
      <c r="Q7" s="11"/>
      <c r="R7" s="56">
        <v>0.92</v>
      </c>
      <c r="S7" s="11"/>
      <c r="T7" s="56">
        <v>0.03</v>
      </c>
      <c r="U7" s="11"/>
      <c r="V7" s="56">
        <v>0</v>
      </c>
      <c r="W7" s="11"/>
      <c r="X7" s="50">
        <v>9679.36</v>
      </c>
    </row>
    <row r="8" spans="2:24" x14ac:dyDescent="0.55000000000000004">
      <c r="B8" s="53" t="s">
        <v>22</v>
      </c>
      <c r="C8" s="55">
        <v>3487.02</v>
      </c>
      <c r="D8" s="56">
        <v>758.52</v>
      </c>
      <c r="E8" s="56">
        <v>1544.89</v>
      </c>
      <c r="F8" s="56">
        <v>1172.68</v>
      </c>
      <c r="G8" s="56">
        <v>1174.71</v>
      </c>
      <c r="H8" s="56">
        <v>700.86</v>
      </c>
      <c r="I8" s="56">
        <v>143.38</v>
      </c>
      <c r="J8" s="56">
        <v>37.200000000000003</v>
      </c>
      <c r="K8" s="56">
        <v>98.67</v>
      </c>
      <c r="L8" s="56">
        <v>65.88</v>
      </c>
      <c r="M8" s="56">
        <v>43.6</v>
      </c>
      <c r="N8" s="56">
        <v>5.7</v>
      </c>
      <c r="O8" s="56">
        <v>15</v>
      </c>
      <c r="P8" s="56">
        <v>8.27</v>
      </c>
      <c r="Q8" s="56">
        <v>4.95</v>
      </c>
      <c r="R8" s="56">
        <v>2.02</v>
      </c>
      <c r="S8" s="56">
        <v>2.57</v>
      </c>
      <c r="T8" s="56">
        <v>2.29</v>
      </c>
      <c r="U8" s="56">
        <v>0.52</v>
      </c>
      <c r="V8" s="56">
        <v>0.57999999999999996</v>
      </c>
      <c r="W8" s="56">
        <v>0.03</v>
      </c>
      <c r="X8" s="50">
        <v>9269.34</v>
      </c>
    </row>
    <row r="9" spans="2:24" x14ac:dyDescent="0.55000000000000004">
      <c r="B9" s="53" t="s">
        <v>24</v>
      </c>
      <c r="C9" s="55">
        <v>31.72</v>
      </c>
      <c r="D9" s="56">
        <v>64.47</v>
      </c>
      <c r="E9" s="56">
        <v>156.22</v>
      </c>
      <c r="F9" s="56">
        <v>316.79000000000002</v>
      </c>
      <c r="G9" s="56">
        <v>164.04</v>
      </c>
      <c r="H9" s="56">
        <v>100</v>
      </c>
      <c r="I9" s="56">
        <v>23.1</v>
      </c>
      <c r="J9" s="56">
        <v>9.58</v>
      </c>
      <c r="K9" s="56">
        <v>31.93</v>
      </c>
      <c r="L9" s="56">
        <v>20.05</v>
      </c>
      <c r="M9" s="56">
        <v>13.42</v>
      </c>
      <c r="N9" s="11"/>
      <c r="O9" s="11"/>
      <c r="P9" s="56">
        <v>3.28</v>
      </c>
      <c r="Q9" s="11"/>
      <c r="R9" s="56">
        <v>0.54</v>
      </c>
      <c r="S9" s="56">
        <v>1.02</v>
      </c>
      <c r="T9" s="56">
        <v>0.53</v>
      </c>
      <c r="U9" s="56">
        <v>0.51</v>
      </c>
      <c r="V9" s="56">
        <v>0</v>
      </c>
      <c r="W9" s="56">
        <v>0.13</v>
      </c>
      <c r="X9" s="50">
        <f>SUM(C9:W9)</f>
        <v>937.32999999999981</v>
      </c>
    </row>
    <row r="10" spans="2:24" ht="14.7" thickBot="1" x14ac:dyDescent="0.6">
      <c r="B10" s="54" t="s">
        <v>145</v>
      </c>
      <c r="C10" s="57">
        <v>8135.96</v>
      </c>
      <c r="D10" s="58">
        <v>4074.86</v>
      </c>
      <c r="E10" s="58">
        <v>4030.83</v>
      </c>
      <c r="F10" s="58">
        <v>2713.74</v>
      </c>
      <c r="G10" s="58">
        <v>1920.79</v>
      </c>
      <c r="H10" s="58">
        <v>1859.82</v>
      </c>
      <c r="I10" s="58">
        <v>768.74</v>
      </c>
      <c r="J10" s="58">
        <v>193.38</v>
      </c>
      <c r="K10" s="58">
        <v>174.51</v>
      </c>
      <c r="L10" s="58">
        <v>157.75</v>
      </c>
      <c r="M10" s="58">
        <v>87.31</v>
      </c>
      <c r="N10" s="58">
        <v>23.78</v>
      </c>
      <c r="O10" s="58">
        <v>15</v>
      </c>
      <c r="P10" s="58">
        <v>11.67</v>
      </c>
      <c r="Q10" s="58">
        <v>4.95</v>
      </c>
      <c r="R10" s="58">
        <v>3.63</v>
      </c>
      <c r="S10" s="58">
        <v>3.59</v>
      </c>
      <c r="T10" s="58">
        <v>2.87</v>
      </c>
      <c r="U10" s="58">
        <v>1.03</v>
      </c>
      <c r="V10" s="58">
        <v>0.57999999999999996</v>
      </c>
      <c r="W10" s="58">
        <v>0.16</v>
      </c>
      <c r="X10" s="51">
        <v>24184.959999999999</v>
      </c>
    </row>
  </sheetData>
  <mergeCells count="1">
    <mergeCell ref="B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I52"/>
  <sheetViews>
    <sheetView showGridLines="0" topLeftCell="A48" zoomScaleNormal="100" workbookViewId="0">
      <selection activeCell="F69" sqref="F69"/>
    </sheetView>
  </sheetViews>
  <sheetFormatPr defaultRowHeight="14.4" x14ac:dyDescent="0.55000000000000004"/>
  <cols>
    <col min="1" max="1" width="2.578125" customWidth="1"/>
    <col min="2" max="9" width="18" customWidth="1"/>
  </cols>
  <sheetData>
    <row r="2" spans="2:9" ht="18.3" x14ac:dyDescent="0.7">
      <c r="B2" s="87" t="s">
        <v>168</v>
      </c>
      <c r="C2" s="75"/>
      <c r="D2" s="75"/>
      <c r="E2" s="75"/>
      <c r="F2" s="75"/>
      <c r="G2" s="75"/>
      <c r="H2" s="75"/>
      <c r="I2" s="75"/>
    </row>
    <row r="3" spans="2:9" ht="18.3" x14ac:dyDescent="0.7">
      <c r="B3" s="27"/>
    </row>
    <row r="4" spans="2:9" ht="15.6" x14ac:dyDescent="0.6">
      <c r="B4" s="62" t="s">
        <v>166</v>
      </c>
    </row>
    <row r="22" spans="2:9" x14ac:dyDescent="0.55000000000000004">
      <c r="B22" s="1"/>
    </row>
    <row r="23" spans="2:9" x14ac:dyDescent="0.55000000000000004">
      <c r="B23" s="89"/>
      <c r="C23" s="75"/>
      <c r="D23" s="75"/>
      <c r="E23" s="75"/>
      <c r="F23" s="75"/>
      <c r="G23" s="75"/>
      <c r="H23" s="75"/>
      <c r="I23" s="75"/>
    </row>
    <row r="24" spans="2:9" x14ac:dyDescent="0.55000000000000004">
      <c r="B24" s="75"/>
      <c r="C24" s="75"/>
      <c r="D24" s="75"/>
      <c r="E24" s="75"/>
      <c r="F24" s="75"/>
      <c r="G24" s="75"/>
      <c r="H24" s="75"/>
      <c r="I24" s="75"/>
    </row>
    <row r="26" spans="2:9" ht="15.6" x14ac:dyDescent="0.6">
      <c r="B26" s="61" t="s">
        <v>167</v>
      </c>
    </row>
    <row r="52" spans="2:2" x14ac:dyDescent="0.55000000000000004">
      <c r="B52" s="47" t="s">
        <v>171</v>
      </c>
    </row>
  </sheetData>
  <mergeCells count="2">
    <mergeCell ref="B23:I24"/>
    <mergeCell ref="B2:I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AB0D-2EE6-4562-8D27-CC210C9A7D88}">
  <dimension ref="B2:Y7"/>
  <sheetViews>
    <sheetView workbookViewId="0">
      <selection activeCell="B5" sqref="B5"/>
    </sheetView>
  </sheetViews>
  <sheetFormatPr defaultRowHeight="14.4" x14ac:dyDescent="0.55000000000000004"/>
  <cols>
    <col min="1" max="1" width="2.578125" customWidth="1"/>
    <col min="2" max="2" width="14.83984375" customWidth="1"/>
    <col min="3" max="3" width="12.5234375" customWidth="1"/>
    <col min="4" max="4" width="10.3125" customWidth="1"/>
    <col min="5" max="5" width="14.15625" bestFit="1" customWidth="1"/>
    <col min="6" max="6" width="14.41796875" customWidth="1"/>
    <col min="7" max="7" width="18" customWidth="1"/>
    <col min="8" max="8" width="14.1015625" customWidth="1"/>
    <col min="9" max="9" width="22.83984375" customWidth="1"/>
    <col min="10" max="10" width="14.83984375" customWidth="1"/>
    <col min="11" max="11" width="9.9453125" customWidth="1"/>
    <col min="12" max="12" width="11.3125" customWidth="1"/>
    <col min="13" max="13" width="13.7890625" customWidth="1"/>
    <col min="14" max="14" width="10.9453125" customWidth="1"/>
    <col min="15" max="15" width="17.734375" customWidth="1"/>
    <col min="16" max="16" width="11.41796875" customWidth="1"/>
    <col min="17" max="17" width="10.41796875" customWidth="1"/>
    <col min="18" max="18" width="11.47265625" customWidth="1"/>
    <col min="19" max="19" width="9.05078125" customWidth="1"/>
    <col min="20" max="20" width="11.20703125" customWidth="1"/>
    <col min="21" max="21" width="10.26171875" customWidth="1"/>
    <col min="22" max="22" width="10.7890625" customWidth="1"/>
    <col min="23" max="23" width="10.68359375" customWidth="1"/>
    <col min="24" max="24" width="11.20703125" customWidth="1"/>
    <col min="25" max="25" width="12" customWidth="1"/>
  </cols>
  <sheetData>
    <row r="2" spans="2:25" x14ac:dyDescent="0.55000000000000004">
      <c r="B2" s="47" t="s">
        <v>169</v>
      </c>
    </row>
    <row r="3" spans="2:25" x14ac:dyDescent="0.55000000000000004">
      <c r="B3" s="64" t="s">
        <v>170</v>
      </c>
    </row>
    <row r="4" spans="2:25" ht="14.7" thickBot="1" x14ac:dyDescent="0.6">
      <c r="B4" s="64"/>
    </row>
    <row r="5" spans="2:25" ht="28.8" x14ac:dyDescent="0.55000000000000004">
      <c r="B5" s="38" t="s">
        <v>10</v>
      </c>
      <c r="C5" s="38" t="s">
        <v>28</v>
      </c>
      <c r="D5" s="38" t="s">
        <v>36</v>
      </c>
      <c r="E5" s="38" t="s">
        <v>31</v>
      </c>
      <c r="F5" s="38" t="s">
        <v>30</v>
      </c>
      <c r="G5" s="38" t="s">
        <v>29</v>
      </c>
      <c r="H5" s="38" t="s">
        <v>33</v>
      </c>
      <c r="I5" s="38" t="s">
        <v>32</v>
      </c>
      <c r="J5" s="38" t="s">
        <v>123</v>
      </c>
      <c r="K5" s="38" t="s">
        <v>124</v>
      </c>
      <c r="L5" s="38" t="s">
        <v>125</v>
      </c>
      <c r="M5" s="38" t="s">
        <v>34</v>
      </c>
      <c r="N5" s="38" t="s">
        <v>127</v>
      </c>
      <c r="O5" s="38" t="s">
        <v>128</v>
      </c>
      <c r="P5" s="38" t="s">
        <v>126</v>
      </c>
      <c r="Q5" s="38" t="s">
        <v>129</v>
      </c>
      <c r="R5" s="38" t="s">
        <v>131</v>
      </c>
      <c r="S5" s="38" t="s">
        <v>132</v>
      </c>
      <c r="T5" s="38" t="s">
        <v>130</v>
      </c>
      <c r="U5" s="38" t="s">
        <v>134</v>
      </c>
      <c r="V5" s="38" t="s">
        <v>133</v>
      </c>
      <c r="W5" s="38" t="s">
        <v>135</v>
      </c>
      <c r="X5" s="38" t="s">
        <v>136</v>
      </c>
      <c r="Y5" s="38" t="s">
        <v>37</v>
      </c>
    </row>
    <row r="6" spans="2:25" x14ac:dyDescent="0.55000000000000004">
      <c r="B6" s="63">
        <v>45992</v>
      </c>
      <c r="C6" s="35">
        <v>3487.0239999999999</v>
      </c>
      <c r="D6" s="35">
        <v>1544.89</v>
      </c>
      <c r="E6" s="35">
        <v>1174.7119947118999</v>
      </c>
      <c r="F6" s="35">
        <v>1172.6815704037999</v>
      </c>
      <c r="G6" s="35">
        <v>758.51531465000005</v>
      </c>
      <c r="H6" s="35">
        <v>700.85947411359996</v>
      </c>
      <c r="I6" s="35">
        <v>143.37687389000001</v>
      </c>
      <c r="J6" s="35">
        <v>98.666554550900003</v>
      </c>
      <c r="K6" s="35">
        <v>65.884166842100001</v>
      </c>
      <c r="L6" s="35">
        <v>43.599804159999998</v>
      </c>
      <c r="M6" s="35">
        <v>37.200000000000003</v>
      </c>
      <c r="N6" s="35">
        <v>15</v>
      </c>
      <c r="O6" s="35">
        <v>8.2697531940999998</v>
      </c>
      <c r="P6" s="35">
        <v>5.6974087291000002</v>
      </c>
      <c r="Q6" s="35">
        <v>4.9545000000000003</v>
      </c>
      <c r="R6" s="35">
        <v>2.5747403273999998</v>
      </c>
      <c r="S6" s="35">
        <v>2.2874195574999998</v>
      </c>
      <c r="T6" s="35">
        <v>2.0166299680000002</v>
      </c>
      <c r="U6" s="35">
        <v>0.58376068000000003</v>
      </c>
      <c r="V6" s="35">
        <v>0.52020880000000003</v>
      </c>
      <c r="W6" s="35">
        <v>0.03</v>
      </c>
      <c r="X6" s="35">
        <v>3.9499999999999998E-5</v>
      </c>
      <c r="Y6" s="35">
        <v>9269.3442142920994</v>
      </c>
    </row>
    <row r="7" spans="2:25" ht="14.7" thickBot="1" x14ac:dyDescent="0.6">
      <c r="B7" s="34" t="s">
        <v>145</v>
      </c>
      <c r="C7" s="32">
        <v>3487.0239999999999</v>
      </c>
      <c r="D7" s="32">
        <v>1544.89</v>
      </c>
      <c r="E7" s="32">
        <v>1174.7119947118999</v>
      </c>
      <c r="F7" s="32">
        <v>1172.6815704037999</v>
      </c>
      <c r="G7" s="32">
        <v>758.51531465000005</v>
      </c>
      <c r="H7" s="32">
        <v>700.85947411359996</v>
      </c>
      <c r="I7" s="32">
        <v>143.37687389000001</v>
      </c>
      <c r="J7" s="32">
        <v>98.666554550900003</v>
      </c>
      <c r="K7" s="32">
        <v>65.884166842100001</v>
      </c>
      <c r="L7" s="32">
        <v>43.599804159999998</v>
      </c>
      <c r="M7" s="32">
        <v>37.200000000000003</v>
      </c>
      <c r="N7" s="32">
        <v>15</v>
      </c>
      <c r="O7" s="32">
        <v>8.2697531940999998</v>
      </c>
      <c r="P7" s="32">
        <v>5.6974087291000002</v>
      </c>
      <c r="Q7" s="32">
        <v>4.9545000000000003</v>
      </c>
      <c r="R7" s="32">
        <v>2.5747403273999998</v>
      </c>
      <c r="S7" s="32">
        <v>2.2874195574999998</v>
      </c>
      <c r="T7" s="32">
        <v>2.0166299680000002</v>
      </c>
      <c r="U7" s="32">
        <v>0.58376068000000003</v>
      </c>
      <c r="V7" s="33">
        <v>0.52020880000000003</v>
      </c>
      <c r="W7" s="32">
        <v>0.03</v>
      </c>
      <c r="X7" s="32">
        <v>3.9499999999999998E-5</v>
      </c>
      <c r="Y7" s="32">
        <v>9269.3442142920994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696C1-F6DE-4584-B46B-EFF69C44556E}">
  <dimension ref="B2:AE17"/>
  <sheetViews>
    <sheetView showGridLines="0" workbookViewId="0">
      <selection activeCell="C17" activeCellId="1" sqref="F17:AD17 C17:D17"/>
    </sheetView>
  </sheetViews>
  <sheetFormatPr defaultRowHeight="14.4" x14ac:dyDescent="0.55000000000000004"/>
  <cols>
    <col min="1" max="1" width="2.578125" customWidth="1"/>
    <col min="2" max="2" width="11.3671875" style="14" customWidth="1"/>
    <col min="3" max="4" width="11.47265625" style="14" customWidth="1"/>
    <col min="5" max="5" width="8.578125" style="14" customWidth="1"/>
    <col min="6" max="6" width="17.5234375" style="14" customWidth="1"/>
    <col min="7" max="9" width="11.47265625" style="14" customWidth="1"/>
    <col min="10" max="10" width="21.3671875" style="14" customWidth="1"/>
    <col min="11" max="13" width="11.47265625" style="14" customWidth="1"/>
    <col min="14" max="14" width="18.15625" style="14" customWidth="1"/>
    <col min="15" max="23" width="11.47265625" style="14" customWidth="1"/>
    <col min="24" max="24" width="15.20703125" style="14" customWidth="1"/>
    <col min="25" max="28" width="11.47265625" style="14" customWidth="1"/>
    <col min="29" max="29" width="14.62890625" style="14" customWidth="1"/>
    <col min="30" max="30" width="11.47265625" style="14" customWidth="1"/>
    <col min="31" max="31" width="12.26171875" style="14" customWidth="1"/>
  </cols>
  <sheetData>
    <row r="2" spans="2:31" x14ac:dyDescent="0.55000000000000004">
      <c r="B2" s="39" t="s">
        <v>151</v>
      </c>
    </row>
    <row r="3" spans="2:31" x14ac:dyDescent="0.55000000000000004">
      <c r="B3" s="64" t="s">
        <v>170</v>
      </c>
    </row>
    <row r="4" spans="2:31" ht="14.7" thickBot="1" x14ac:dyDescent="0.6"/>
    <row r="5" spans="2:31" ht="31.2" x14ac:dyDescent="0.6">
      <c r="B5" s="38" t="s">
        <v>40</v>
      </c>
      <c r="C5" s="37" t="s">
        <v>30</v>
      </c>
      <c r="D5" s="37" t="s">
        <v>31</v>
      </c>
      <c r="E5" s="37" t="s">
        <v>36</v>
      </c>
      <c r="F5" s="37" t="s">
        <v>29</v>
      </c>
      <c r="G5" s="37" t="s">
        <v>33</v>
      </c>
      <c r="H5" s="37" t="s">
        <v>123</v>
      </c>
      <c r="I5" s="37" t="s">
        <v>28</v>
      </c>
      <c r="J5" s="37" t="s">
        <v>32</v>
      </c>
      <c r="K5" s="37" t="s">
        <v>124</v>
      </c>
      <c r="L5" s="37" t="s">
        <v>125</v>
      </c>
      <c r="M5" s="37" t="s">
        <v>34</v>
      </c>
      <c r="N5" s="37" t="s">
        <v>128</v>
      </c>
      <c r="O5" s="37" t="s">
        <v>131</v>
      </c>
      <c r="P5" s="37" t="s">
        <v>132</v>
      </c>
      <c r="Q5" s="37" t="s">
        <v>130</v>
      </c>
      <c r="R5" s="37" t="s">
        <v>133</v>
      </c>
      <c r="S5" s="37" t="s">
        <v>135</v>
      </c>
      <c r="T5" s="37" t="s">
        <v>150</v>
      </c>
      <c r="U5" s="37" t="s">
        <v>134</v>
      </c>
      <c r="V5" s="37" t="s">
        <v>137</v>
      </c>
      <c r="W5" s="37" t="s">
        <v>138</v>
      </c>
      <c r="X5" s="37" t="s">
        <v>139</v>
      </c>
      <c r="Y5" s="37" t="s">
        <v>140</v>
      </c>
      <c r="Z5" s="37" t="s">
        <v>141</v>
      </c>
      <c r="AA5" s="37" t="s">
        <v>129</v>
      </c>
      <c r="AB5" s="37" t="s">
        <v>143</v>
      </c>
      <c r="AC5" s="37" t="s">
        <v>144</v>
      </c>
      <c r="AD5" s="40" t="s">
        <v>142</v>
      </c>
      <c r="AE5" s="43" t="s">
        <v>37</v>
      </c>
    </row>
    <row r="6" spans="2:31" ht="15.6" x14ac:dyDescent="0.6">
      <c r="B6" s="36">
        <v>46023</v>
      </c>
      <c r="C6" s="35">
        <v>42.458314850400001</v>
      </c>
      <c r="D6" s="35">
        <v>19.7184155134</v>
      </c>
      <c r="E6" s="35">
        <v>157.87</v>
      </c>
      <c r="F6" s="35">
        <v>9.2619984502000001</v>
      </c>
      <c r="G6" s="35">
        <v>68.302061820099993</v>
      </c>
      <c r="H6" s="35">
        <v>3.3176552967999999</v>
      </c>
      <c r="I6" s="35">
        <v>27.99</v>
      </c>
      <c r="J6" s="35">
        <v>2.4</v>
      </c>
      <c r="K6" s="35">
        <v>2.0473796851000001</v>
      </c>
      <c r="L6" s="35">
        <v>1.44</v>
      </c>
      <c r="M6" s="35">
        <v>0.72521999999999998</v>
      </c>
      <c r="N6" s="35">
        <v>0.33348562459999997</v>
      </c>
      <c r="O6" s="35">
        <v>0.1853482232</v>
      </c>
      <c r="P6" s="35">
        <v>5.2686511499999998E-2</v>
      </c>
      <c r="Q6" s="35">
        <v>6.5651128000000003E-2</v>
      </c>
      <c r="R6" s="35">
        <v>0.50090040000000002</v>
      </c>
      <c r="S6" s="35">
        <v>0.04</v>
      </c>
      <c r="T6" s="35"/>
      <c r="U6" s="35">
        <v>2.0999999999999998E-6</v>
      </c>
      <c r="V6" s="35"/>
      <c r="W6" s="35">
        <v>0</v>
      </c>
      <c r="X6" s="35">
        <v>0</v>
      </c>
      <c r="Y6" s="35">
        <v>0</v>
      </c>
      <c r="Z6" s="35">
        <v>0</v>
      </c>
      <c r="AA6" s="35">
        <v>0</v>
      </c>
      <c r="AB6" s="35"/>
      <c r="AC6" s="35"/>
      <c r="AD6" s="41"/>
      <c r="AE6" s="44">
        <v>336.7091196033</v>
      </c>
    </row>
    <row r="7" spans="2:31" ht="15.6" x14ac:dyDescent="0.6">
      <c r="B7" s="36">
        <v>46024</v>
      </c>
      <c r="C7" s="35">
        <v>42.460460689500003</v>
      </c>
      <c r="D7" s="35">
        <v>19.718415948299999</v>
      </c>
      <c r="E7" s="35"/>
      <c r="F7" s="35">
        <v>7.6230967751999996</v>
      </c>
      <c r="G7" s="35"/>
      <c r="H7" s="35">
        <v>3.3176736546000001</v>
      </c>
      <c r="I7" s="35">
        <v>0.432</v>
      </c>
      <c r="J7" s="35">
        <v>2.4</v>
      </c>
      <c r="K7" s="35">
        <v>2.0541504633000001</v>
      </c>
      <c r="L7" s="35">
        <v>1.44</v>
      </c>
      <c r="M7" s="35">
        <v>0.6</v>
      </c>
      <c r="N7" s="35">
        <v>0.33970734000000002</v>
      </c>
      <c r="O7" s="35">
        <v>1.1002132E-2</v>
      </c>
      <c r="P7" s="35">
        <v>4.7156380099999999E-2</v>
      </c>
      <c r="Q7" s="35">
        <v>6.4576127999999997E-2</v>
      </c>
      <c r="R7" s="35">
        <v>1.0028000000000001E-3</v>
      </c>
      <c r="S7" s="35"/>
      <c r="T7" s="35"/>
      <c r="U7" s="35"/>
      <c r="V7" s="35"/>
      <c r="W7" s="35">
        <v>0</v>
      </c>
      <c r="X7" s="35">
        <v>0</v>
      </c>
      <c r="Y7" s="35">
        <v>0</v>
      </c>
      <c r="Z7" s="35"/>
      <c r="AA7" s="35"/>
      <c r="AB7" s="35"/>
      <c r="AC7" s="35"/>
      <c r="AD7" s="41"/>
      <c r="AE7" s="44">
        <v>80.509242310999994</v>
      </c>
    </row>
    <row r="8" spans="2:31" ht="15.6" x14ac:dyDescent="0.6">
      <c r="B8" s="36">
        <v>46025</v>
      </c>
      <c r="C8" s="35">
        <v>42.460456551500002</v>
      </c>
      <c r="D8" s="35">
        <v>23.8347656997</v>
      </c>
      <c r="E8" s="35"/>
      <c r="F8" s="35">
        <v>7.6230967751999996</v>
      </c>
      <c r="G8" s="35"/>
      <c r="H8" s="35">
        <v>3.3170989332</v>
      </c>
      <c r="I8" s="35">
        <v>0.432</v>
      </c>
      <c r="J8" s="35">
        <v>2.4</v>
      </c>
      <c r="K8" s="35">
        <v>2.3341377058999999</v>
      </c>
      <c r="L8" s="35">
        <v>1.44</v>
      </c>
      <c r="M8" s="35">
        <v>0.61560356250000003</v>
      </c>
      <c r="N8" s="35">
        <v>0.33970734000000002</v>
      </c>
      <c r="O8" s="35">
        <v>0.110175</v>
      </c>
      <c r="P8" s="35">
        <v>4.6578217099999999E-2</v>
      </c>
      <c r="Q8" s="35">
        <v>5.9378052799999997E-2</v>
      </c>
      <c r="R8" s="35">
        <v>6.2E-4</v>
      </c>
      <c r="S8" s="35"/>
      <c r="T8" s="35"/>
      <c r="U8" s="35"/>
      <c r="V8" s="35">
        <v>4.5999999999999999E-7</v>
      </c>
      <c r="W8" s="35">
        <v>0</v>
      </c>
      <c r="X8" s="35">
        <v>0</v>
      </c>
      <c r="Y8" s="35">
        <v>0</v>
      </c>
      <c r="Z8" s="35"/>
      <c r="AA8" s="35"/>
      <c r="AB8" s="35">
        <v>0</v>
      </c>
      <c r="AC8" s="35">
        <v>0</v>
      </c>
      <c r="AD8" s="41">
        <v>0</v>
      </c>
      <c r="AE8" s="44">
        <v>85.013618297899995</v>
      </c>
    </row>
    <row r="9" spans="2:31" ht="15.6" x14ac:dyDescent="0.6">
      <c r="B9" s="36">
        <v>46026</v>
      </c>
      <c r="C9" s="35">
        <v>42.460458704399997</v>
      </c>
      <c r="D9" s="35">
        <v>23.8017349691</v>
      </c>
      <c r="E9" s="35"/>
      <c r="F9" s="35">
        <v>7.6230967751999996</v>
      </c>
      <c r="G9" s="35"/>
      <c r="H9" s="35">
        <v>3.3170249634000002</v>
      </c>
      <c r="I9" s="35">
        <v>0.432</v>
      </c>
      <c r="J9" s="35">
        <v>2.4</v>
      </c>
      <c r="K9" s="35">
        <v>2.0835395396999998</v>
      </c>
      <c r="L9" s="35">
        <v>1.44</v>
      </c>
      <c r="M9" s="35">
        <v>0.60002999999999995</v>
      </c>
      <c r="N9" s="35">
        <v>0.33970734000000002</v>
      </c>
      <c r="O9" s="35">
        <v>0.232851</v>
      </c>
      <c r="P9" s="35">
        <v>4.4933097900000003E-2</v>
      </c>
      <c r="Q9" s="35">
        <v>5.28129024E-2</v>
      </c>
      <c r="R9" s="35">
        <v>1.1344E-3</v>
      </c>
      <c r="S9" s="35"/>
      <c r="T9" s="35"/>
      <c r="U9" s="35"/>
      <c r="V9" s="35"/>
      <c r="W9" s="35">
        <v>0</v>
      </c>
      <c r="X9" s="35">
        <v>0</v>
      </c>
      <c r="Y9" s="35">
        <v>0</v>
      </c>
      <c r="Z9" s="35">
        <v>0</v>
      </c>
      <c r="AA9" s="35">
        <v>0</v>
      </c>
      <c r="AB9" s="35">
        <v>0</v>
      </c>
      <c r="AC9" s="35">
        <v>0</v>
      </c>
      <c r="AD9" s="41">
        <v>0</v>
      </c>
      <c r="AE9" s="44">
        <v>84.829323692100004</v>
      </c>
    </row>
    <row r="10" spans="2:31" ht="15.6" x14ac:dyDescent="0.6">
      <c r="B10" s="36">
        <v>46027</v>
      </c>
      <c r="C10" s="35">
        <v>42.460460764300002</v>
      </c>
      <c r="D10" s="35">
        <v>19.898728190500002</v>
      </c>
      <c r="E10" s="35"/>
      <c r="F10" s="35">
        <v>7.6230967751999996</v>
      </c>
      <c r="G10" s="35"/>
      <c r="H10" s="35">
        <v>3.3167938661999998</v>
      </c>
      <c r="I10" s="35">
        <v>0.432</v>
      </c>
      <c r="J10" s="35">
        <v>2.4</v>
      </c>
      <c r="K10" s="35">
        <v>2.0681529117999999</v>
      </c>
      <c r="L10" s="35">
        <v>1.44</v>
      </c>
      <c r="M10" s="35">
        <v>1.1356367777</v>
      </c>
      <c r="N10" s="35">
        <v>0.34010848259999998</v>
      </c>
      <c r="O10" s="35">
        <v>0.12752246480000001</v>
      </c>
      <c r="P10" s="35">
        <v>5.0684352000000002E-2</v>
      </c>
      <c r="Q10" s="35">
        <v>5.1862902400000001E-2</v>
      </c>
      <c r="R10" s="35">
        <v>6.0159999999999999E-4</v>
      </c>
      <c r="S10" s="35"/>
      <c r="T10" s="35"/>
      <c r="U10" s="35">
        <v>1.9999999999999999E-7</v>
      </c>
      <c r="V10" s="35"/>
      <c r="W10" s="35">
        <v>0</v>
      </c>
      <c r="X10" s="35"/>
      <c r="Y10" s="35">
        <v>0</v>
      </c>
      <c r="Z10" s="35"/>
      <c r="AA10" s="35"/>
      <c r="AB10" s="35">
        <v>0</v>
      </c>
      <c r="AC10" s="35">
        <v>0</v>
      </c>
      <c r="AD10" s="41">
        <v>0</v>
      </c>
      <c r="AE10" s="44">
        <v>81.345649287499995</v>
      </c>
    </row>
    <row r="11" spans="2:31" ht="15.6" x14ac:dyDescent="0.6">
      <c r="B11" s="36">
        <v>46028</v>
      </c>
      <c r="C11" s="35">
        <v>41.555355682399998</v>
      </c>
      <c r="D11" s="35">
        <v>19.085934827900001</v>
      </c>
      <c r="E11" s="35"/>
      <c r="F11" s="35">
        <v>7.4302615681999997</v>
      </c>
      <c r="G11" s="35"/>
      <c r="H11" s="35">
        <v>3.316774917</v>
      </c>
      <c r="I11" s="35">
        <v>0.432</v>
      </c>
      <c r="J11" s="35">
        <v>2.4</v>
      </c>
      <c r="K11" s="35">
        <v>2.1013003471</v>
      </c>
      <c r="L11" s="35">
        <v>1.43168472</v>
      </c>
      <c r="M11" s="35">
        <v>1.2893450849000001</v>
      </c>
      <c r="N11" s="35">
        <v>0.34042581080000001</v>
      </c>
      <c r="O11" s="35">
        <v>0.1525150659</v>
      </c>
      <c r="P11" s="35">
        <v>6.0887405399999997E-2</v>
      </c>
      <c r="Q11" s="35">
        <v>5.2702902400000001E-2</v>
      </c>
      <c r="R11" s="35">
        <v>1.2459999999999999E-3</v>
      </c>
      <c r="S11" s="35">
        <v>0.09</v>
      </c>
      <c r="T11" s="35"/>
      <c r="U11" s="35">
        <v>1.3999999999999999E-6</v>
      </c>
      <c r="V11" s="35"/>
      <c r="W11" s="35">
        <v>0</v>
      </c>
      <c r="X11" s="35">
        <v>0</v>
      </c>
      <c r="Y11" s="35">
        <v>0</v>
      </c>
      <c r="Z11" s="35">
        <v>0</v>
      </c>
      <c r="AA11" s="35">
        <v>0</v>
      </c>
      <c r="AB11" s="35"/>
      <c r="AC11" s="35"/>
      <c r="AD11" s="41">
        <v>0</v>
      </c>
      <c r="AE11" s="44">
        <v>79.740435731999995</v>
      </c>
    </row>
    <row r="12" spans="2:31" ht="15.6" x14ac:dyDescent="0.6">
      <c r="B12" s="36">
        <v>46029</v>
      </c>
      <c r="C12" s="35">
        <v>17.2102976356</v>
      </c>
      <c r="D12" s="35">
        <v>10.656015762999999</v>
      </c>
      <c r="E12" s="35"/>
      <c r="F12" s="35">
        <v>4.7670967751999997</v>
      </c>
      <c r="G12" s="35"/>
      <c r="H12" s="35">
        <v>3.3167871944999998</v>
      </c>
      <c r="I12" s="35">
        <v>0.432</v>
      </c>
      <c r="J12" s="35">
        <v>2.4</v>
      </c>
      <c r="K12" s="35">
        <v>2.0560858402000002</v>
      </c>
      <c r="L12" s="35">
        <v>1.32</v>
      </c>
      <c r="M12" s="35">
        <v>1.2836249851999999</v>
      </c>
      <c r="N12" s="35">
        <v>0.34052194320000001</v>
      </c>
      <c r="O12" s="35">
        <v>0.15184404579999999</v>
      </c>
      <c r="P12" s="35">
        <v>5.6710537499999998E-2</v>
      </c>
      <c r="Q12" s="35">
        <v>5.2457902399999999E-2</v>
      </c>
      <c r="R12" s="35">
        <v>1.0008E-3</v>
      </c>
      <c r="S12" s="35"/>
      <c r="T12" s="35"/>
      <c r="U12" s="35">
        <v>1.9999999999999999E-7</v>
      </c>
      <c r="V12" s="35"/>
      <c r="W12" s="35">
        <v>0</v>
      </c>
      <c r="X12" s="35"/>
      <c r="Y12" s="35">
        <v>0</v>
      </c>
      <c r="Z12" s="35"/>
      <c r="AA12" s="35"/>
      <c r="AB12" s="35"/>
      <c r="AC12" s="35"/>
      <c r="AD12" s="41">
        <v>0</v>
      </c>
      <c r="AE12" s="44">
        <v>44.044443622599999</v>
      </c>
    </row>
    <row r="13" spans="2:31" ht="15.6" x14ac:dyDescent="0.6">
      <c r="B13" s="36">
        <v>46030</v>
      </c>
      <c r="C13" s="35">
        <v>17.210300199900001</v>
      </c>
      <c r="D13" s="35">
        <v>10.656015249299999</v>
      </c>
      <c r="E13" s="35"/>
      <c r="F13" s="35">
        <v>4.7670967751999997</v>
      </c>
      <c r="G13" s="35"/>
      <c r="H13" s="35">
        <v>3.3166429653999998</v>
      </c>
      <c r="I13" s="35">
        <v>0.432</v>
      </c>
      <c r="J13" s="35">
        <v>2.4</v>
      </c>
      <c r="K13" s="35">
        <v>2.0606140055000002</v>
      </c>
      <c r="L13" s="35">
        <v>1.32</v>
      </c>
      <c r="M13" s="35">
        <v>1.2559711924000001</v>
      </c>
      <c r="N13" s="35">
        <v>0.34052194320000001</v>
      </c>
      <c r="O13" s="35">
        <v>4.5079999999999999E-7</v>
      </c>
      <c r="P13" s="35">
        <v>5.6694474199999997E-2</v>
      </c>
      <c r="Q13" s="35">
        <v>5.1612902400000001E-2</v>
      </c>
      <c r="R13" s="35">
        <v>9.2920000000000003E-4</v>
      </c>
      <c r="S13" s="35"/>
      <c r="T13" s="35"/>
      <c r="U13" s="35"/>
      <c r="V13" s="35"/>
      <c r="W13" s="35">
        <v>0</v>
      </c>
      <c r="X13" s="35"/>
      <c r="Y13" s="35">
        <v>0</v>
      </c>
      <c r="Z13" s="35"/>
      <c r="AA13" s="35"/>
      <c r="AB13" s="35"/>
      <c r="AC13" s="35"/>
      <c r="AD13" s="41">
        <v>0</v>
      </c>
      <c r="AE13" s="44">
        <v>43.868399358300003</v>
      </c>
    </row>
    <row r="14" spans="2:31" ht="15.6" x14ac:dyDescent="0.6">
      <c r="B14" s="36">
        <v>46031</v>
      </c>
      <c r="C14" s="35">
        <v>17.210294562400001</v>
      </c>
      <c r="D14" s="35">
        <v>10.6560159859</v>
      </c>
      <c r="E14" s="35"/>
      <c r="F14" s="35">
        <v>4.7670967751999997</v>
      </c>
      <c r="G14" s="35"/>
      <c r="H14" s="35">
        <v>3.3175663207000001</v>
      </c>
      <c r="I14" s="35">
        <v>0.432</v>
      </c>
      <c r="J14" s="35">
        <v>2.4</v>
      </c>
      <c r="K14" s="35">
        <v>2.0542404833000001</v>
      </c>
      <c r="L14" s="35">
        <v>1.32</v>
      </c>
      <c r="M14" s="35">
        <v>1.2640117092000001</v>
      </c>
      <c r="N14" s="35">
        <v>0.34052194320000001</v>
      </c>
      <c r="O14" s="35">
        <v>4.7836140100000001E-2</v>
      </c>
      <c r="P14" s="35">
        <v>5.66869635E-2</v>
      </c>
      <c r="Q14" s="35">
        <v>5.17929024E-2</v>
      </c>
      <c r="R14" s="35">
        <v>8.1119999999999999E-4</v>
      </c>
      <c r="S14" s="35"/>
      <c r="T14" s="35"/>
      <c r="U14" s="35"/>
      <c r="V14" s="35"/>
      <c r="W14" s="35">
        <v>0</v>
      </c>
      <c r="X14" s="35"/>
      <c r="Y14" s="35">
        <v>0</v>
      </c>
      <c r="Z14" s="35"/>
      <c r="AA14" s="35"/>
      <c r="AB14" s="35"/>
      <c r="AC14" s="35"/>
      <c r="AD14" s="41">
        <v>0</v>
      </c>
      <c r="AE14" s="44">
        <v>43.918874985899997</v>
      </c>
    </row>
    <row r="15" spans="2:31" ht="15.6" x14ac:dyDescent="0.6">
      <c r="B15" s="36">
        <v>46032</v>
      </c>
      <c r="C15" s="35">
        <v>17.2102929104</v>
      </c>
      <c r="D15" s="35">
        <v>10.6524466757</v>
      </c>
      <c r="E15" s="35">
        <v>0</v>
      </c>
      <c r="F15" s="35">
        <v>4.7670967751999997</v>
      </c>
      <c r="G15" s="35"/>
      <c r="H15" s="35">
        <v>3.2643684723000002</v>
      </c>
      <c r="I15" s="35">
        <v>0.432</v>
      </c>
      <c r="J15" s="35">
        <v>2.4</v>
      </c>
      <c r="K15" s="35">
        <v>2.0470676990999999</v>
      </c>
      <c r="L15" s="35">
        <v>1.3199763900000001</v>
      </c>
      <c r="M15" s="35">
        <v>1.2148717032</v>
      </c>
      <c r="N15" s="35">
        <v>0.34052194320000001</v>
      </c>
      <c r="O15" s="35">
        <v>3.4169046699999997E-2</v>
      </c>
      <c r="P15" s="35">
        <v>5.6996456100000002E-2</v>
      </c>
      <c r="Q15" s="35">
        <v>5.1777902399999999E-2</v>
      </c>
      <c r="R15" s="35">
        <v>7.7879999999999996E-4</v>
      </c>
      <c r="S15" s="35">
        <v>0.3</v>
      </c>
      <c r="T15" s="35">
        <v>1.5949999999999999E-2</v>
      </c>
      <c r="U15" s="35">
        <v>1.3999999999999999E-6</v>
      </c>
      <c r="V15" s="35"/>
      <c r="W15" s="35">
        <v>0</v>
      </c>
      <c r="X15" s="35"/>
      <c r="Y15" s="35">
        <v>0</v>
      </c>
      <c r="Z15" s="35"/>
      <c r="AA15" s="35"/>
      <c r="AB15" s="35">
        <v>0</v>
      </c>
      <c r="AC15" s="35"/>
      <c r="AD15" s="41">
        <v>0</v>
      </c>
      <c r="AE15" s="44">
        <v>44.108316174300001</v>
      </c>
    </row>
    <row r="16" spans="2:31" ht="15.6" x14ac:dyDescent="0.6">
      <c r="B16" s="36">
        <v>46033</v>
      </c>
      <c r="C16" s="35">
        <v>9.8733092249999999</v>
      </c>
      <c r="D16" s="35">
        <v>5.0348544471999999</v>
      </c>
      <c r="E16" s="35"/>
      <c r="F16" s="35">
        <v>2.5821774198999998</v>
      </c>
      <c r="G16" s="35"/>
      <c r="H16" s="35">
        <v>1.7965786694000001</v>
      </c>
      <c r="I16" s="35">
        <v>0.23400000000000001</v>
      </c>
      <c r="J16" s="35">
        <v>1.3</v>
      </c>
      <c r="K16" s="35">
        <v>0.98193977070000005</v>
      </c>
      <c r="L16" s="35">
        <v>0.71499999999999997</v>
      </c>
      <c r="M16" s="35">
        <v>0.326598585</v>
      </c>
      <c r="N16" s="35">
        <v>0.18444938590000001</v>
      </c>
      <c r="O16" s="35">
        <v>1.1668E-2</v>
      </c>
      <c r="P16" s="35">
        <v>6.0325144800000001E-2</v>
      </c>
      <c r="Q16" s="35">
        <v>2.8081988799999999E-2</v>
      </c>
      <c r="R16" s="35">
        <v>4.328E-4</v>
      </c>
      <c r="S16" s="35"/>
      <c r="T16" s="35"/>
      <c r="U16" s="35"/>
      <c r="V16" s="35"/>
      <c r="W16" s="35">
        <v>0</v>
      </c>
      <c r="X16" s="35"/>
      <c r="Y16" s="35">
        <v>0</v>
      </c>
      <c r="Z16" s="35"/>
      <c r="AA16" s="35"/>
      <c r="AB16" s="35"/>
      <c r="AC16" s="35"/>
      <c r="AD16" s="41">
        <v>0</v>
      </c>
      <c r="AE16" s="44">
        <v>23.1294154367</v>
      </c>
    </row>
    <row r="17" spans="2:31" ht="15.9" thickBot="1" x14ac:dyDescent="0.65">
      <c r="B17" s="34" t="s">
        <v>145</v>
      </c>
      <c r="C17" s="32">
        <v>332.57000177579999</v>
      </c>
      <c r="D17" s="32">
        <v>173.71334327</v>
      </c>
      <c r="E17" s="32">
        <v>157.87</v>
      </c>
      <c r="F17" s="32">
        <v>68.835211639899995</v>
      </c>
      <c r="G17" s="32">
        <v>68.302061820099993</v>
      </c>
      <c r="H17" s="32">
        <v>34.9149652535</v>
      </c>
      <c r="I17" s="32">
        <v>32.112000000000002</v>
      </c>
      <c r="J17" s="32">
        <v>25.3</v>
      </c>
      <c r="K17" s="32">
        <v>21.888608451700001</v>
      </c>
      <c r="L17" s="32">
        <v>14.626661110000001</v>
      </c>
      <c r="M17" s="32">
        <v>10.310913600099999</v>
      </c>
      <c r="N17" s="32">
        <v>3.5796790967000001</v>
      </c>
      <c r="O17" s="32">
        <v>1.0649315693000001</v>
      </c>
      <c r="P17" s="32">
        <v>0.5903395401</v>
      </c>
      <c r="Q17" s="32">
        <v>0.58270761439999996</v>
      </c>
      <c r="R17" s="32">
        <v>0.50945799999999997</v>
      </c>
      <c r="S17" s="32">
        <v>0.43</v>
      </c>
      <c r="T17" s="32">
        <v>1.5949999999999999E-2</v>
      </c>
      <c r="U17" s="32">
        <v>5.3000000000000001E-6</v>
      </c>
      <c r="V17" s="33">
        <v>0</v>
      </c>
      <c r="W17" s="32">
        <v>0</v>
      </c>
      <c r="X17" s="32">
        <v>0</v>
      </c>
      <c r="Y17" s="32">
        <v>0</v>
      </c>
      <c r="Z17" s="32">
        <v>0</v>
      </c>
      <c r="AA17" s="32">
        <v>0</v>
      </c>
      <c r="AB17" s="32">
        <v>0</v>
      </c>
      <c r="AC17" s="32">
        <v>0</v>
      </c>
      <c r="AD17" s="42">
        <v>0</v>
      </c>
      <c r="AE17" s="45">
        <v>947.21683850160002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 Cover</vt:lpstr>
      <vt:lpstr>2. Monthly Spend</vt:lpstr>
      <vt:lpstr>3. Service Breakdown</vt:lpstr>
      <vt:lpstr>4. Before &amp; After</vt:lpstr>
      <vt:lpstr>5. Resource Inventory</vt:lpstr>
      <vt:lpstr>6. AWS Pack Checklist</vt:lpstr>
      <vt:lpstr>7. Raw Data</vt:lpstr>
      <vt:lpstr>8. Screenshots</vt:lpstr>
      <vt:lpstr>9. December 2025</vt:lpstr>
      <vt:lpstr>12. 01 - 11 Jan 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William Rogers</cp:lastModifiedBy>
  <dcterms:created xsi:type="dcterms:W3CDTF">2026-01-12T00:59:23Z</dcterms:created>
  <dcterms:modified xsi:type="dcterms:W3CDTF">2026-01-12T01:27:40Z</dcterms:modified>
</cp:coreProperties>
</file>